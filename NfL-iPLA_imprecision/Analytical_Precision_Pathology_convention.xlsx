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hieduau-my.sharepoint.com/personal/smith_j_wehi_edu_au/Documents/Documents/CFHAC_ProxiPal/ProxiPal/user_documents/NfL-PLA Development Paper/NfL-PLA Development Paper Figure Data/GitHub/NfL-iPLA-paper/NfL-iPLA_imprecision/"/>
    </mc:Choice>
  </mc:AlternateContent>
  <xr:revisionPtr revIDLastSave="268" documentId="8_{5AF014E8-1630-426D-9D80-6B5DABD0E8D7}" xr6:coauthVersionLast="47" xr6:coauthVersionMax="47" xr10:uidLastSave="{DA8A7C96-6458-4CCE-B305-9F5696E0E116}"/>
  <bookViews>
    <workbookView xWindow="-110" yWindow="-110" windowWidth="38620" windowHeight="21100" activeTab="1" xr2:uid="{C276D241-3180-455D-B1F9-2AC79E2509AD}"/>
  </bookViews>
  <sheets>
    <sheet name="Sheet1" sheetId="1" r:id="rId1"/>
    <sheet name="Sheet1 (2)" sheetId="4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4" l="1"/>
  <c r="F41" i="4"/>
  <c r="F42" i="4"/>
  <c r="H40" i="4"/>
  <c r="V81" i="4"/>
  <c r="U81" i="4"/>
  <c r="N81" i="4"/>
  <c r="M81" i="4"/>
  <c r="F81" i="4"/>
  <c r="E81" i="4"/>
  <c r="V80" i="4"/>
  <c r="F80" i="4"/>
  <c r="V78" i="4"/>
  <c r="U78" i="4"/>
  <c r="N78" i="4"/>
  <c r="M78" i="4"/>
  <c r="F78" i="4"/>
  <c r="E78" i="4"/>
  <c r="V68" i="4"/>
  <c r="U68" i="4"/>
  <c r="N68" i="4"/>
  <c r="M68" i="4"/>
  <c r="F68" i="4"/>
  <c r="E68" i="4"/>
  <c r="V58" i="4"/>
  <c r="U58" i="4"/>
  <c r="N58" i="4"/>
  <c r="M58" i="4"/>
  <c r="F58" i="4"/>
  <c r="E58" i="4"/>
  <c r="V43" i="4"/>
  <c r="U43" i="4"/>
  <c r="N43" i="4"/>
  <c r="M43" i="4"/>
  <c r="N42" i="4"/>
  <c r="E42" i="4"/>
  <c r="V40" i="4"/>
  <c r="U40" i="4"/>
  <c r="N40" i="4"/>
  <c r="M40" i="4"/>
  <c r="AD39" i="4"/>
  <c r="AC39" i="4"/>
  <c r="F39" i="4"/>
  <c r="E39" i="4"/>
  <c r="AD36" i="4"/>
  <c r="AC36" i="4"/>
  <c r="V34" i="4"/>
  <c r="U34" i="4"/>
  <c r="N34" i="4"/>
  <c r="M34" i="4"/>
  <c r="F33" i="4"/>
  <c r="E33" i="4"/>
  <c r="AD32" i="4"/>
  <c r="AC32" i="4"/>
  <c r="AD24" i="4"/>
  <c r="AC24" i="4"/>
  <c r="V24" i="4"/>
  <c r="U24" i="4"/>
  <c r="N24" i="4"/>
  <c r="M24" i="4"/>
  <c r="F23" i="4"/>
  <c r="E23" i="4"/>
  <c r="AD14" i="4"/>
  <c r="AC14" i="4"/>
  <c r="V14" i="4"/>
  <c r="U14" i="4"/>
  <c r="N14" i="4"/>
  <c r="M14" i="4"/>
  <c r="F14" i="4"/>
  <c r="E14" i="4"/>
  <c r="E81" i="1"/>
  <c r="G81" i="1" s="1"/>
  <c r="E80" i="1"/>
  <c r="X81" i="1"/>
  <c r="W81" i="1"/>
  <c r="W80" i="1"/>
  <c r="W78" i="1"/>
  <c r="W68" i="1"/>
  <c r="W58" i="1"/>
  <c r="V81" i="1"/>
  <c r="U81" i="1"/>
  <c r="V78" i="1"/>
  <c r="U78" i="1"/>
  <c r="V68" i="1"/>
  <c r="U68" i="1"/>
  <c r="V58" i="1"/>
  <c r="U58" i="1"/>
  <c r="V80" i="1" s="1"/>
  <c r="N81" i="1"/>
  <c r="M81" i="1"/>
  <c r="O81" i="1" s="1"/>
  <c r="N78" i="1"/>
  <c r="M78" i="1"/>
  <c r="O78" i="1" s="1"/>
  <c r="N68" i="1"/>
  <c r="M68" i="1"/>
  <c r="O68" i="1" s="1"/>
  <c r="N58" i="1"/>
  <c r="M58" i="1"/>
  <c r="O58" i="1" s="1"/>
  <c r="F81" i="1"/>
  <c r="F42" i="1"/>
  <c r="H42" i="1" s="1"/>
  <c r="F78" i="1"/>
  <c r="F68" i="1"/>
  <c r="F58" i="1"/>
  <c r="E78" i="1"/>
  <c r="G78" i="1" s="1"/>
  <c r="E68" i="1"/>
  <c r="G68" i="1" s="1"/>
  <c r="E58" i="1"/>
  <c r="G58" i="1" s="1"/>
  <c r="G79" i="1" s="1"/>
  <c r="AC36" i="1"/>
  <c r="AC32" i="1"/>
  <c r="AC24" i="1"/>
  <c r="AC14" i="1"/>
  <c r="U40" i="1"/>
  <c r="U34" i="1"/>
  <c r="U24" i="1"/>
  <c r="U14" i="1"/>
  <c r="M40" i="1"/>
  <c r="M34" i="1"/>
  <c r="M24" i="1"/>
  <c r="M14" i="1"/>
  <c r="E39" i="1"/>
  <c r="E33" i="1"/>
  <c r="E23" i="1"/>
  <c r="E14" i="1"/>
  <c r="F41" i="1" s="1"/>
  <c r="AD39" i="1"/>
  <c r="V43" i="1"/>
  <c r="N43" i="1"/>
  <c r="P43" i="1" s="1"/>
  <c r="AC39" i="1"/>
  <c r="AF39" i="1" s="1"/>
  <c r="U43" i="1"/>
  <c r="M43" i="1"/>
  <c r="E42" i="1"/>
  <c r="AD36" i="1"/>
  <c r="AD32" i="1"/>
  <c r="AF32" i="1" s="1"/>
  <c r="AD24" i="1"/>
  <c r="AF24" i="1" s="1"/>
  <c r="AD14" i="1"/>
  <c r="AF14" i="1" s="1"/>
  <c r="V40" i="1"/>
  <c r="X40" i="1"/>
  <c r="V34" i="1"/>
  <c r="X34" i="1" s="1"/>
  <c r="V24" i="1"/>
  <c r="V14" i="1"/>
  <c r="N40" i="1"/>
  <c r="N34" i="1"/>
  <c r="N24" i="1"/>
  <c r="N14" i="1"/>
  <c r="P14" i="1" s="1"/>
  <c r="F14" i="1"/>
  <c r="H14" i="1" s="1"/>
  <c r="F39" i="1"/>
  <c r="H39" i="1" s="1"/>
  <c r="F33" i="1"/>
  <c r="F23" i="1"/>
  <c r="H41" i="4" l="1"/>
  <c r="H42" i="4"/>
  <c r="X81" i="4"/>
  <c r="U80" i="4"/>
  <c r="W80" i="4" s="1"/>
  <c r="V41" i="4"/>
  <c r="N41" i="4"/>
  <c r="X40" i="4"/>
  <c r="P40" i="4"/>
  <c r="F40" i="4"/>
  <c r="AF39" i="4"/>
  <c r="H39" i="4"/>
  <c r="G39" i="4"/>
  <c r="AD38" i="4"/>
  <c r="AC38" i="4"/>
  <c r="AD37" i="4"/>
  <c r="AF36" i="4"/>
  <c r="X34" i="4"/>
  <c r="P34" i="4"/>
  <c r="H33" i="4"/>
  <c r="G33" i="4"/>
  <c r="AF24" i="4"/>
  <c r="X24" i="4"/>
  <c r="P24" i="4"/>
  <c r="H23" i="4"/>
  <c r="G23" i="4"/>
  <c r="AF14" i="4"/>
  <c r="X14" i="4"/>
  <c r="H14" i="4"/>
  <c r="G14" i="4"/>
  <c r="H68" i="4"/>
  <c r="G68" i="4"/>
  <c r="H58" i="4"/>
  <c r="G58" i="4"/>
  <c r="AF32" i="4"/>
  <c r="P14" i="4"/>
  <c r="P41" i="4" s="1"/>
  <c r="N80" i="4"/>
  <c r="P78" i="4"/>
  <c r="O78" i="4"/>
  <c r="H78" i="4"/>
  <c r="H79" i="4" s="1"/>
  <c r="G78" i="4"/>
  <c r="X68" i="4"/>
  <c r="W68" i="4"/>
  <c r="P68" i="4"/>
  <c r="O68" i="4"/>
  <c r="X58" i="4"/>
  <c r="W58" i="4"/>
  <c r="P58" i="4"/>
  <c r="O58" i="4"/>
  <c r="O79" i="4" s="1"/>
  <c r="X43" i="4"/>
  <c r="P43" i="4"/>
  <c r="V42" i="4"/>
  <c r="U42" i="4"/>
  <c r="M42" i="4"/>
  <c r="W81" i="4"/>
  <c r="H81" i="4"/>
  <c r="G81" i="4"/>
  <c r="P81" i="4"/>
  <c r="O81" i="4"/>
  <c r="M80" i="4"/>
  <c r="O80" i="4" s="1"/>
  <c r="E80" i="4"/>
  <c r="G80" i="4" s="1"/>
  <c r="X78" i="4"/>
  <c r="X79" i="4" s="1"/>
  <c r="W78" i="4"/>
  <c r="X80" i="1"/>
  <c r="U80" i="1"/>
  <c r="X68" i="1"/>
  <c r="X78" i="1"/>
  <c r="X58" i="1"/>
  <c r="X79" i="1" s="1"/>
  <c r="H68" i="1"/>
  <c r="H81" i="1"/>
  <c r="AC38" i="1"/>
  <c r="X43" i="1"/>
  <c r="H58" i="1"/>
  <c r="H78" i="1"/>
  <c r="P40" i="1"/>
  <c r="G80" i="1"/>
  <c r="M42" i="1"/>
  <c r="O24" i="1" s="1"/>
  <c r="X14" i="1"/>
  <c r="AF36" i="1"/>
  <c r="AF37" i="1" s="1"/>
  <c r="AD38" i="1"/>
  <c r="AF38" i="1" s="1"/>
  <c r="P81" i="1"/>
  <c r="H79" i="1"/>
  <c r="P34" i="1"/>
  <c r="P78" i="1"/>
  <c r="F40" i="1"/>
  <c r="V41" i="1"/>
  <c r="H33" i="1"/>
  <c r="AD37" i="1"/>
  <c r="P58" i="1"/>
  <c r="N41" i="1"/>
  <c r="F80" i="1"/>
  <c r="P68" i="1"/>
  <c r="M80" i="1"/>
  <c r="O80" i="1" s="1"/>
  <c r="O79" i="1"/>
  <c r="N80" i="1"/>
  <c r="P80" i="1" s="1"/>
  <c r="U42" i="1"/>
  <c r="W40" i="1" s="1"/>
  <c r="X24" i="1"/>
  <c r="X41" i="1" s="1"/>
  <c r="V42" i="1"/>
  <c r="X42" i="1" s="1"/>
  <c r="N42" i="1"/>
  <c r="P42" i="1" s="1"/>
  <c r="P24" i="1"/>
  <c r="H23" i="1"/>
  <c r="E41" i="1"/>
  <c r="O34" i="1"/>
  <c r="O40" i="1"/>
  <c r="O14" i="1"/>
  <c r="X80" i="4" l="1"/>
  <c r="H80" i="4"/>
  <c r="X41" i="4"/>
  <c r="W40" i="4"/>
  <c r="O40" i="4"/>
  <c r="AF38" i="4"/>
  <c r="AF37" i="4"/>
  <c r="W34" i="4"/>
  <c r="O34" i="4"/>
  <c r="W24" i="4"/>
  <c r="O24" i="4"/>
  <c r="W14" i="4"/>
  <c r="G79" i="4"/>
  <c r="P42" i="4"/>
  <c r="O14" i="4"/>
  <c r="P80" i="4"/>
  <c r="P79" i="4"/>
  <c r="W79" i="4"/>
  <c r="X42" i="4"/>
  <c r="W79" i="1"/>
  <c r="P41" i="1"/>
  <c r="H80" i="1"/>
  <c r="P79" i="1"/>
  <c r="H40" i="1"/>
  <c r="W14" i="1"/>
  <c r="W24" i="1"/>
  <c r="W34" i="1"/>
  <c r="H41" i="1"/>
  <c r="G39" i="1"/>
  <c r="G14" i="1"/>
  <c r="G23" i="1"/>
  <c r="G33" i="1"/>
</calcChain>
</file>

<file path=xl/sharedStrings.xml><?xml version="1.0" encoding="utf-8"?>
<sst xmlns="http://schemas.openxmlformats.org/spreadsheetml/2006/main" count="1317" uniqueCount="43">
  <si>
    <t>NFL-QC-H</t>
  </si>
  <si>
    <t>Plate</t>
  </si>
  <si>
    <t>rep_id</t>
  </si>
  <si>
    <t>dilution</t>
  </si>
  <si>
    <t>SLR; log10(x); exc_std0; ct; raw_ng/L</t>
  </si>
  <si>
    <t>sample_id</t>
  </si>
  <si>
    <t>SLR; log10(x); exc_std0; ct; mean_ng/L</t>
  </si>
  <si>
    <t>raw_ng/L</t>
  </si>
  <si>
    <t>mean_ng/L</t>
  </si>
  <si>
    <t>stdev</t>
  </si>
  <si>
    <t xml:space="preserve">Intra-assay </t>
  </si>
  <si>
    <t>Intra-assay</t>
  </si>
  <si>
    <t>Inter-assay (from Intra-assay means)</t>
  </si>
  <si>
    <t>Inter-assay (from all reactions pooled)</t>
  </si>
  <si>
    <t>Imprecison</t>
  </si>
  <si>
    <t>NFL-QC-M</t>
  </si>
  <si>
    <t>RE %</t>
  </si>
  <si>
    <t>CV %</t>
  </si>
  <si>
    <t>NFL-QC-L</t>
  </si>
  <si>
    <t>NFL-LoQ</t>
  </si>
  <si>
    <t>CAL-QC-80</t>
  </si>
  <si>
    <t>CAL-QC-3.2</t>
  </si>
  <si>
    <t>CAL-QC-0.1</t>
  </si>
  <si>
    <t>241114_NfL-e90_kruti.csv</t>
  </si>
  <si>
    <t>std1[0]_progen#62008</t>
  </si>
  <si>
    <t>AD8 blank</t>
  </si>
  <si>
    <t>std1[0.128]_progen#62008</t>
  </si>
  <si>
    <t>std1[0.64]_progen#62008</t>
  </si>
  <si>
    <t>std1[3.2]_progen#62008</t>
  </si>
  <si>
    <t>std1[16]_progen#62008</t>
  </si>
  <si>
    <t>std1[80]_progen#62008</t>
  </si>
  <si>
    <t>std1[400]_progen#62008</t>
  </si>
  <si>
    <t>std1[2000]_progen#62008</t>
  </si>
  <si>
    <t>241114_NfL-e89_kruti.csv</t>
  </si>
  <si>
    <t>241112_NfL-e88_kruti.csv</t>
  </si>
  <si>
    <t>241107_NfL-e87_kruti.csv</t>
  </si>
  <si>
    <t>Column2</t>
  </si>
  <si>
    <t>Column1</t>
  </si>
  <si>
    <t>usr_mean_ng/L</t>
  </si>
  <si>
    <t>usr_raw_ng/L</t>
  </si>
  <si>
    <t>ct; mean</t>
  </si>
  <si>
    <t>ct</t>
  </si>
  <si>
    <t>filename_csv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</si>
</sst>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 applyAlignment="1">
      <alignment horizontal="center"/>
    </xf>
    <xf numFmtId="164" fontId="0" fillId="0" borderId="5" xfId="0" applyNumberForma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7" xfId="0" applyNumberFormat="1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1" applyNumberFormat="1" applyFont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/>
    <xf numFmtId="2" fontId="0" fillId="0" borderId="2" xfId="0" applyNumberForma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2" fontId="0" fillId="0" borderId="5" xfId="1" applyNumberFormat="1" applyFon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7" xfId="1" applyNumberFormat="1" applyFont="1" applyBorder="1" applyAlignment="1">
      <alignment horizontal="center"/>
    </xf>
    <xf numFmtId="2" fontId="0" fillId="0" borderId="8" xfId="1" applyNumberFormat="1" applyFont="1" applyBorder="1"/>
    <xf numFmtId="0" fontId="0" fillId="0" borderId="4" xfId="0" applyBorder="1"/>
    <xf numFmtId="2" fontId="0" fillId="0" borderId="6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2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2589B-B529-4199-B52E-F53C1815033D}" name="Table1" displayName="Table1" ref="A1:M346" totalsRowShown="0">
  <autoFilter ref="A1:M346" xr:uid="{FBCFE1BE-CD83-4828-B32C-582DEE18B91E}">
    <filterColumn colId="4">
      <filters>
        <filter val="1"/>
        <filter val="10"/>
      </filters>
    </filterColumn>
  </autoFilter>
  <tableColumns count="13">
    <tableColumn id="1" xr3:uid="{12A0DF6D-6856-48F6-A7F0-9888EB46AF73}" name="filename_csv"/>
    <tableColumn id="13" xr3:uid="{A1493904-95D0-46C2-BBB0-039B5C189A4C}" name="Plate"/>
    <tableColumn id="2" xr3:uid="{F67FA995-3C41-4380-9E69-1ED0A9D44031}" name="sample_id"/>
    <tableColumn id="3" xr3:uid="{CB518298-7307-43B7-8B52-99A2D1E01461}" name="rep_id"/>
    <tableColumn id="4" xr3:uid="{1F19CED3-37EF-4F43-B19C-96EBD9DB0E64}" name="dilution"/>
    <tableColumn id="5" xr3:uid="{C9F06ECD-D575-4F14-A299-9D3B16858BE5}" name="ct"/>
    <tableColumn id="6" xr3:uid="{81AE13EB-0EBB-40B8-9492-B7E208D2DC9D}" name="ct; mean"/>
    <tableColumn id="7" xr3:uid="{1EAE6177-4611-4671-8622-C42B01118B70}" name="usr_raw_ng/L"/>
    <tableColumn id="8" xr3:uid="{4179071C-66D8-423A-8587-2FED228CC558}" name="usr_mean_ng/L"/>
    <tableColumn id="9" xr3:uid="{568CDFC2-BBD7-4F00-89DE-27E1C70C2EB4}" name="SLR; log10(x); exc_std0; ct; raw_ng/L"/>
    <tableColumn id="10" xr3:uid="{9036072C-4A65-4C59-8D08-6E2A1D5F00E7}" name="SLR; log10(x); exc_std0; ct; mean_ng/L"/>
    <tableColumn id="11" xr3:uid="{2C27A5A1-54D5-4F56-9A67-4EF5026EE0F6}" name="Column1"/>
    <tableColumn id="12" xr3:uid="{BCADC679-0C11-4036-A621-8C62337F4DA3}" name="Column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6C01-6100-46C3-80E9-918D22313C58}">
  <dimension ref="B2:AF81"/>
  <sheetViews>
    <sheetView zoomScale="85" zoomScaleNormal="85" workbookViewId="0">
      <selection activeCell="F41" sqref="F41"/>
    </sheetView>
  </sheetViews>
  <sheetFormatPr defaultRowHeight="14.5" x14ac:dyDescent="0.35"/>
  <cols>
    <col min="2" max="2" width="13.26953125" customWidth="1"/>
    <col min="3" max="3" width="13.1796875" customWidth="1"/>
    <col min="4" max="4" width="10.7265625" customWidth="1"/>
    <col min="5" max="5" width="11.7265625" customWidth="1"/>
    <col min="6" max="11" width="12.54296875" customWidth="1"/>
    <col min="13" max="13" width="12" customWidth="1"/>
    <col min="14" max="14" width="15.26953125" customWidth="1"/>
    <col min="15" max="15" width="13.81640625" customWidth="1"/>
    <col min="16" max="16" width="15.81640625" customWidth="1"/>
    <col min="19" max="19" width="12.81640625" customWidth="1"/>
    <col min="20" max="20" width="12.54296875" customWidth="1"/>
    <col min="21" max="21" width="13.81640625" customWidth="1"/>
    <col min="22" max="22" width="11.1796875" customWidth="1"/>
    <col min="23" max="24" width="11" customWidth="1"/>
    <col min="27" max="27" width="12.1796875" customWidth="1"/>
    <col min="28" max="28" width="10.7265625" customWidth="1"/>
    <col min="29" max="29" width="12.7265625" customWidth="1"/>
    <col min="30" max="30" width="10.54296875" customWidth="1"/>
  </cols>
  <sheetData>
    <row r="2" spans="2:32" x14ac:dyDescent="0.35">
      <c r="B2" s="42" t="s">
        <v>14</v>
      </c>
    </row>
    <row r="3" spans="2:32" x14ac:dyDescent="0.35">
      <c r="B3" s="22"/>
      <c r="C3" s="17"/>
      <c r="D3" s="17"/>
      <c r="E3" s="17"/>
      <c r="F3" s="6" t="s">
        <v>10</v>
      </c>
      <c r="G3" s="17"/>
      <c r="H3" s="18"/>
      <c r="I3" s="1"/>
      <c r="J3" s="22"/>
      <c r="K3" s="17"/>
      <c r="L3" s="17"/>
      <c r="M3" s="17"/>
      <c r="N3" s="22" t="s">
        <v>10</v>
      </c>
      <c r="O3" s="17"/>
      <c r="P3" s="18"/>
      <c r="R3" s="38"/>
      <c r="S3" s="28"/>
      <c r="T3" s="28"/>
      <c r="U3" s="28"/>
      <c r="V3" s="38" t="s">
        <v>10</v>
      </c>
      <c r="W3" s="28"/>
      <c r="X3" s="39"/>
      <c r="Z3" s="38"/>
      <c r="AA3" s="28"/>
      <c r="AB3" s="28"/>
      <c r="AC3" s="28"/>
      <c r="AD3" s="38" t="s">
        <v>10</v>
      </c>
      <c r="AE3" s="28"/>
      <c r="AF3" s="39"/>
    </row>
    <row r="4" spans="2:32" x14ac:dyDescent="0.35">
      <c r="B4" s="13" t="s">
        <v>1</v>
      </c>
      <c r="C4" s="14" t="s">
        <v>5</v>
      </c>
      <c r="D4" s="14" t="s">
        <v>7</v>
      </c>
      <c r="E4" s="14" t="s">
        <v>8</v>
      </c>
      <c r="F4" s="13" t="s">
        <v>9</v>
      </c>
      <c r="G4" s="14" t="s">
        <v>16</v>
      </c>
      <c r="H4" s="23" t="s">
        <v>17</v>
      </c>
      <c r="I4" s="1"/>
      <c r="J4" s="11" t="s">
        <v>1</v>
      </c>
      <c r="K4" s="1" t="s">
        <v>5</v>
      </c>
      <c r="L4" t="s">
        <v>7</v>
      </c>
      <c r="M4" t="s">
        <v>8</v>
      </c>
      <c r="N4" s="35" t="s">
        <v>9</v>
      </c>
      <c r="O4" s="14" t="s">
        <v>16</v>
      </c>
      <c r="P4" s="23" t="s">
        <v>17</v>
      </c>
      <c r="R4" s="37" t="s">
        <v>1</v>
      </c>
      <c r="S4" s="2" t="s">
        <v>5</v>
      </c>
      <c r="T4" s="2" t="s">
        <v>7</v>
      </c>
      <c r="U4" s="2" t="s">
        <v>8</v>
      </c>
      <c r="V4" s="37" t="s">
        <v>9</v>
      </c>
      <c r="W4" s="2" t="s">
        <v>16</v>
      </c>
      <c r="X4" s="40" t="s">
        <v>17</v>
      </c>
      <c r="Z4" s="37" t="s">
        <v>1</v>
      </c>
      <c r="AA4" s="2" t="s">
        <v>5</v>
      </c>
      <c r="AB4" s="2" t="s">
        <v>7</v>
      </c>
      <c r="AC4" s="2" t="s">
        <v>8</v>
      </c>
      <c r="AD4" s="37" t="s">
        <v>9</v>
      </c>
      <c r="AE4" s="2" t="s">
        <v>16</v>
      </c>
      <c r="AF4" s="40" t="s">
        <v>17</v>
      </c>
    </row>
    <row r="5" spans="2:32" x14ac:dyDescent="0.35">
      <c r="B5" s="6">
        <v>1</v>
      </c>
      <c r="C5" s="7" t="s">
        <v>0</v>
      </c>
      <c r="D5" s="8">
        <v>82.978899999999996</v>
      </c>
      <c r="E5" s="8"/>
      <c r="F5" s="19"/>
      <c r="G5" s="8"/>
      <c r="H5" s="10"/>
      <c r="I5" s="5"/>
      <c r="J5" s="6">
        <v>1</v>
      </c>
      <c r="K5" s="9" t="s">
        <v>15</v>
      </c>
      <c r="L5" s="28">
        <v>19.523499999999999</v>
      </c>
      <c r="M5" s="28"/>
      <c r="N5" s="38"/>
      <c r="O5" s="28"/>
      <c r="P5" s="39"/>
      <c r="R5" s="6">
        <v>1</v>
      </c>
      <c r="S5" s="28" t="s">
        <v>18</v>
      </c>
      <c r="T5" s="28">
        <v>5.5917000000000003</v>
      </c>
      <c r="U5" s="28"/>
      <c r="V5" s="38"/>
      <c r="W5" s="28"/>
      <c r="X5" s="39"/>
      <c r="Z5" s="6">
        <v>1</v>
      </c>
      <c r="AA5" s="7" t="s">
        <v>19</v>
      </c>
      <c r="AB5" s="28">
        <v>1.9202999999999999</v>
      </c>
      <c r="AC5" s="28"/>
      <c r="AD5" s="38"/>
      <c r="AE5" s="28"/>
      <c r="AF5" s="39"/>
    </row>
    <row r="6" spans="2:32" x14ac:dyDescent="0.35">
      <c r="B6" s="11">
        <v>1</v>
      </c>
      <c r="C6" s="1" t="s">
        <v>0</v>
      </c>
      <c r="D6" s="4">
        <v>89.046099999999996</v>
      </c>
      <c r="E6" s="4"/>
      <c r="F6" s="20"/>
      <c r="G6" s="4"/>
      <c r="H6" s="12"/>
      <c r="I6" s="5"/>
      <c r="J6" s="11">
        <v>1</v>
      </c>
      <c r="K6" s="5" t="s">
        <v>15</v>
      </c>
      <c r="L6" s="2">
        <v>21.430099999999999</v>
      </c>
      <c r="M6" s="2"/>
      <c r="N6" s="37"/>
      <c r="O6" s="2"/>
      <c r="P6" s="40"/>
      <c r="R6" s="11">
        <v>1</v>
      </c>
      <c r="S6" s="2" t="s">
        <v>18</v>
      </c>
      <c r="T6" s="2">
        <v>7.0681000000000003</v>
      </c>
      <c r="U6" s="2"/>
      <c r="V6" s="37"/>
      <c r="W6" s="2"/>
      <c r="X6" s="40"/>
      <c r="Z6" s="11">
        <v>1</v>
      </c>
      <c r="AA6" s="1" t="s">
        <v>19</v>
      </c>
      <c r="AB6" s="2">
        <v>1.4923999999999999</v>
      </c>
      <c r="AC6" s="2"/>
      <c r="AD6" s="37"/>
      <c r="AE6" s="2"/>
      <c r="AF6" s="40"/>
    </row>
    <row r="7" spans="2:32" x14ac:dyDescent="0.35">
      <c r="B7" s="11">
        <v>1</v>
      </c>
      <c r="C7" s="1" t="s">
        <v>0</v>
      </c>
      <c r="D7" s="4">
        <v>79.201800000000006</v>
      </c>
      <c r="E7" s="4"/>
      <c r="F7" s="20"/>
      <c r="G7" s="4"/>
      <c r="H7" s="12"/>
      <c r="I7" s="5"/>
      <c r="J7" s="11">
        <v>1</v>
      </c>
      <c r="K7" s="5" t="s">
        <v>15</v>
      </c>
      <c r="L7" s="2">
        <v>19.403500000000001</v>
      </c>
      <c r="M7" s="2"/>
      <c r="N7" s="37"/>
      <c r="O7" s="2"/>
      <c r="P7" s="40"/>
      <c r="R7" s="11">
        <v>1</v>
      </c>
      <c r="S7" s="2" t="s">
        <v>18</v>
      </c>
      <c r="T7" s="2">
        <v>5.4966999999999997</v>
      </c>
      <c r="U7" s="2"/>
      <c r="V7" s="37"/>
      <c r="W7" s="2"/>
      <c r="X7" s="40"/>
      <c r="Z7" s="11">
        <v>1</v>
      </c>
      <c r="AA7" s="1" t="s">
        <v>19</v>
      </c>
      <c r="AB7" s="2">
        <v>1.9256</v>
      </c>
      <c r="AC7" s="2"/>
      <c r="AD7" s="37"/>
      <c r="AE7" s="2"/>
      <c r="AF7" s="40"/>
    </row>
    <row r="8" spans="2:32" x14ac:dyDescent="0.35">
      <c r="B8" s="11">
        <v>1</v>
      </c>
      <c r="C8" s="1" t="s">
        <v>0</v>
      </c>
      <c r="D8" s="4">
        <v>84.760199999999998</v>
      </c>
      <c r="E8" s="4"/>
      <c r="F8" s="20"/>
      <c r="G8" s="4"/>
      <c r="H8" s="12"/>
      <c r="I8" s="5"/>
      <c r="J8" s="11">
        <v>1</v>
      </c>
      <c r="K8" s="5" t="s">
        <v>15</v>
      </c>
      <c r="L8" s="2">
        <v>20.426600000000001</v>
      </c>
      <c r="M8" s="2"/>
      <c r="N8" s="37"/>
      <c r="O8" s="2"/>
      <c r="P8" s="40"/>
      <c r="R8" s="11">
        <v>1</v>
      </c>
      <c r="S8" s="2" t="s">
        <v>18</v>
      </c>
      <c r="T8" s="2">
        <v>6.3342999999999998</v>
      </c>
      <c r="U8" s="2"/>
      <c r="V8" s="37"/>
      <c r="W8" s="2"/>
      <c r="X8" s="40"/>
      <c r="Z8" s="11">
        <v>1</v>
      </c>
      <c r="AA8" s="1" t="s">
        <v>19</v>
      </c>
      <c r="AB8" s="2">
        <v>1.7591000000000001</v>
      </c>
      <c r="AC8" s="2"/>
      <c r="AD8" s="37"/>
      <c r="AE8" s="2"/>
      <c r="AF8" s="40"/>
    </row>
    <row r="9" spans="2:32" x14ac:dyDescent="0.35">
      <c r="B9" s="11">
        <v>1</v>
      </c>
      <c r="C9" s="1" t="s">
        <v>0</v>
      </c>
      <c r="D9" s="4">
        <v>80.239500000000007</v>
      </c>
      <c r="E9" s="4"/>
      <c r="F9" s="20"/>
      <c r="G9" s="4"/>
      <c r="H9" s="12"/>
      <c r="I9" s="5"/>
      <c r="J9" s="11">
        <v>1</v>
      </c>
      <c r="K9" s="5" t="s">
        <v>15</v>
      </c>
      <c r="L9" s="2">
        <v>17.0702</v>
      </c>
      <c r="M9" s="2"/>
      <c r="N9" s="37"/>
      <c r="O9" s="2"/>
      <c r="P9" s="40"/>
      <c r="R9" s="11">
        <v>1</v>
      </c>
      <c r="S9" s="2" t="s">
        <v>18</v>
      </c>
      <c r="T9" s="2">
        <v>5.4966999999999997</v>
      </c>
      <c r="U9" s="2"/>
      <c r="V9" s="37"/>
      <c r="W9" s="2"/>
      <c r="X9" s="40"/>
      <c r="Z9" s="11">
        <v>1</v>
      </c>
      <c r="AA9" s="1" t="s">
        <v>19</v>
      </c>
      <c r="AB9" s="2">
        <v>1.6720999999999999</v>
      </c>
      <c r="AC9" s="2"/>
      <c r="AD9" s="37"/>
      <c r="AE9" s="2"/>
      <c r="AF9" s="40"/>
    </row>
    <row r="10" spans="2:32" x14ac:dyDescent="0.35">
      <c r="B10" s="11">
        <v>1</v>
      </c>
      <c r="C10" s="1" t="s">
        <v>0</v>
      </c>
      <c r="D10" s="4">
        <v>91.834199999999996</v>
      </c>
      <c r="E10" s="4"/>
      <c r="F10" s="20"/>
      <c r="G10" s="4"/>
      <c r="H10" s="12"/>
      <c r="I10" s="5"/>
      <c r="J10" s="11">
        <v>1</v>
      </c>
      <c r="K10" s="5" t="s">
        <v>15</v>
      </c>
      <c r="L10" s="2">
        <v>16.427700000000002</v>
      </c>
      <c r="M10" s="2"/>
      <c r="N10" s="37"/>
      <c r="O10" s="2"/>
      <c r="P10" s="40"/>
      <c r="R10" s="11">
        <v>1</v>
      </c>
      <c r="S10" s="2" t="s">
        <v>18</v>
      </c>
      <c r="T10" s="2">
        <v>5.9473000000000003</v>
      </c>
      <c r="U10" s="2"/>
      <c r="V10" s="37"/>
      <c r="W10" s="2"/>
      <c r="X10" s="40"/>
      <c r="Z10" s="11">
        <v>1</v>
      </c>
      <c r="AA10" s="1" t="s">
        <v>19</v>
      </c>
      <c r="AB10" s="2">
        <v>1.4852000000000001</v>
      </c>
      <c r="AC10" s="2"/>
      <c r="AD10" s="37"/>
      <c r="AE10" s="2"/>
      <c r="AF10" s="40"/>
    </row>
    <row r="11" spans="2:32" x14ac:dyDescent="0.35">
      <c r="B11" s="11">
        <v>1</v>
      </c>
      <c r="C11" s="1" t="s">
        <v>0</v>
      </c>
      <c r="D11" s="4">
        <v>90.027600000000007</v>
      </c>
      <c r="E11" s="4"/>
      <c r="F11" s="20"/>
      <c r="G11" s="4"/>
      <c r="H11" s="12"/>
      <c r="I11" s="5"/>
      <c r="J11" s="11">
        <v>1</v>
      </c>
      <c r="K11" s="5" t="s">
        <v>15</v>
      </c>
      <c r="L11" s="2">
        <v>16.837900000000001</v>
      </c>
      <c r="M11" s="2"/>
      <c r="N11" s="37"/>
      <c r="O11" s="2"/>
      <c r="P11" s="40"/>
      <c r="R11" s="11">
        <v>1</v>
      </c>
      <c r="S11" s="2" t="s">
        <v>18</v>
      </c>
      <c r="T11" s="2">
        <v>5.9027000000000003</v>
      </c>
      <c r="U11" s="2"/>
      <c r="V11" s="37"/>
      <c r="W11" s="2"/>
      <c r="X11" s="40"/>
      <c r="Z11" s="11">
        <v>1</v>
      </c>
      <c r="AA11" s="1" t="s">
        <v>19</v>
      </c>
      <c r="AB11" s="2">
        <v>1.9885999999999999</v>
      </c>
      <c r="AC11" s="2"/>
      <c r="AD11" s="37"/>
      <c r="AE11" s="2"/>
      <c r="AF11" s="40"/>
    </row>
    <row r="12" spans="2:32" x14ac:dyDescent="0.35">
      <c r="B12" s="11">
        <v>1</v>
      </c>
      <c r="C12" s="1" t="s">
        <v>0</v>
      </c>
      <c r="D12" s="4">
        <v>98.278999999999996</v>
      </c>
      <c r="E12" s="4"/>
      <c r="F12" s="20"/>
      <c r="G12" s="4"/>
      <c r="H12" s="12"/>
      <c r="I12" s="5"/>
      <c r="J12" s="11">
        <v>1</v>
      </c>
      <c r="K12" s="5" t="s">
        <v>15</v>
      </c>
      <c r="L12" s="2">
        <v>17.0352</v>
      </c>
      <c r="M12" s="2"/>
      <c r="N12" s="37"/>
      <c r="O12" s="2"/>
      <c r="P12" s="40"/>
      <c r="R12" s="11">
        <v>1</v>
      </c>
      <c r="S12" s="2" t="s">
        <v>18</v>
      </c>
      <c r="T12" s="2">
        <v>4.5777999999999999</v>
      </c>
      <c r="U12" s="2"/>
      <c r="V12" s="37"/>
      <c r="W12" s="2"/>
      <c r="X12" s="40"/>
      <c r="Z12" s="11">
        <v>1</v>
      </c>
      <c r="AA12" s="1" t="s">
        <v>19</v>
      </c>
      <c r="AB12" s="2">
        <v>1.3110999999999999</v>
      </c>
      <c r="AC12" s="2"/>
      <c r="AD12" s="37"/>
      <c r="AE12" s="2"/>
      <c r="AF12" s="40"/>
    </row>
    <row r="13" spans="2:32" x14ac:dyDescent="0.35">
      <c r="B13" s="11">
        <v>1</v>
      </c>
      <c r="C13" s="1" t="s">
        <v>0</v>
      </c>
      <c r="D13" s="4">
        <v>83.035799999999995</v>
      </c>
      <c r="E13" s="4"/>
      <c r="F13" s="20"/>
      <c r="G13" s="4"/>
      <c r="H13" s="12"/>
      <c r="I13" s="5"/>
      <c r="J13" s="11">
        <v>1</v>
      </c>
      <c r="K13" s="5" t="s">
        <v>15</v>
      </c>
      <c r="L13" s="2">
        <v>16.093499999999999</v>
      </c>
      <c r="M13" s="2"/>
      <c r="N13" s="37"/>
      <c r="O13" s="2"/>
      <c r="P13" s="40"/>
      <c r="R13" s="11">
        <v>1</v>
      </c>
      <c r="S13" s="2" t="s">
        <v>18</v>
      </c>
      <c r="T13" s="2">
        <v>5.4817</v>
      </c>
      <c r="U13" s="2"/>
      <c r="V13" s="37"/>
      <c r="W13" s="2"/>
      <c r="X13" s="40"/>
      <c r="Z13" s="11">
        <v>1</v>
      </c>
      <c r="AA13" s="1" t="s">
        <v>19</v>
      </c>
      <c r="AB13" s="2">
        <v>1.8837999999999999</v>
      </c>
      <c r="AC13" s="2"/>
      <c r="AD13" s="37"/>
      <c r="AE13" s="2"/>
      <c r="AF13" s="40"/>
    </row>
    <row r="14" spans="2:32" x14ac:dyDescent="0.35">
      <c r="B14" s="11">
        <v>1</v>
      </c>
      <c r="C14" s="1" t="s">
        <v>0</v>
      </c>
      <c r="D14" s="4">
        <v>80.074799999999996</v>
      </c>
      <c r="E14" s="4">
        <f>AVERAGE(D5:D14)</f>
        <v>85.947789999999998</v>
      </c>
      <c r="F14" s="20">
        <f>STDEV(D5:D14)</f>
        <v>6.1845889847174869</v>
      </c>
      <c r="G14" s="29">
        <f>((E14-$E$41)/$E$41)*100</f>
        <v>-6.245649012214697</v>
      </c>
      <c r="H14" s="30">
        <f>(F14/E14)*100</f>
        <v>7.1957510306169441</v>
      </c>
      <c r="I14" s="5"/>
      <c r="J14" s="13">
        <v>1</v>
      </c>
      <c r="K14" s="16" t="s">
        <v>15</v>
      </c>
      <c r="L14" s="26">
        <v>14.412699999999999</v>
      </c>
      <c r="M14" s="26">
        <f>AVERAGE(L5:L14)</f>
        <v>17.86609</v>
      </c>
      <c r="N14" s="36">
        <f>STDEV(L5:L14)</f>
        <v>2.2082409668481819</v>
      </c>
      <c r="O14" s="26">
        <f>((M14-$M$42)/$M$42)*100</f>
        <v>-7.3818007399413386</v>
      </c>
      <c r="P14" s="41">
        <f>(N14/M14)*100</f>
        <v>12.359956581704122</v>
      </c>
      <c r="R14" s="13">
        <v>1</v>
      </c>
      <c r="S14" s="26" t="s">
        <v>18</v>
      </c>
      <c r="T14" s="26">
        <v>6.3255999999999997</v>
      </c>
      <c r="U14" s="26">
        <f>AVERAGE(T5:T14)</f>
        <v>5.8222600000000009</v>
      </c>
      <c r="V14" s="36">
        <f>STDEV(T5:T14)</f>
        <v>0.66829445971732704</v>
      </c>
      <c r="W14" s="26">
        <f>((U14-$U$42)/$U$42)*100</f>
        <v>-7.3398313507457136</v>
      </c>
      <c r="X14" s="41">
        <f>(V14/U14)*100</f>
        <v>11.478265479681893</v>
      </c>
      <c r="Z14" s="11">
        <v>1</v>
      </c>
      <c r="AA14" s="1" t="s">
        <v>19</v>
      </c>
      <c r="AB14" s="2">
        <v>1.2827</v>
      </c>
      <c r="AC14" s="2">
        <f>AVERAGE(AB5:AB14)</f>
        <v>1.6720900000000001</v>
      </c>
      <c r="AD14" s="37">
        <f>STDEV(AB5:AB14)</f>
        <v>0.26407084255723617</v>
      </c>
      <c r="AE14" s="2"/>
      <c r="AF14" s="40">
        <f>(AD14/AC14)*100</f>
        <v>15.792860585090285</v>
      </c>
    </row>
    <row r="15" spans="2:32" x14ac:dyDescent="0.35">
      <c r="B15" s="6">
        <v>2</v>
      </c>
      <c r="C15" s="7" t="s">
        <v>0</v>
      </c>
      <c r="D15" s="8">
        <v>116.6061</v>
      </c>
      <c r="E15" s="8"/>
      <c r="F15" s="19"/>
      <c r="G15" s="28"/>
      <c r="H15" s="31"/>
      <c r="I15" s="5"/>
      <c r="J15" s="11">
        <v>2</v>
      </c>
      <c r="K15" s="5" t="s">
        <v>15</v>
      </c>
      <c r="L15" s="2">
        <v>24.425599999999999</v>
      </c>
      <c r="M15" s="2"/>
      <c r="N15" s="37"/>
      <c r="O15" s="2"/>
      <c r="P15" s="40"/>
      <c r="R15" s="6">
        <v>2</v>
      </c>
      <c r="S15" s="28" t="s">
        <v>18</v>
      </c>
      <c r="T15" s="28">
        <v>6.1477000000000004</v>
      </c>
      <c r="U15" s="28"/>
      <c r="V15" s="38"/>
      <c r="W15" s="28"/>
      <c r="X15" s="39"/>
      <c r="Z15" s="6">
        <v>2</v>
      </c>
      <c r="AA15" s="7" t="s">
        <v>19</v>
      </c>
      <c r="AB15" s="28">
        <v>2.2056</v>
      </c>
      <c r="AC15" s="28"/>
      <c r="AD15" s="38"/>
      <c r="AE15" s="28"/>
      <c r="AF15" s="39"/>
    </row>
    <row r="16" spans="2:32" x14ac:dyDescent="0.35">
      <c r="B16" s="11">
        <v>2</v>
      </c>
      <c r="C16" s="1" t="s">
        <v>0</v>
      </c>
      <c r="D16" s="4">
        <v>113.0535</v>
      </c>
      <c r="E16" s="4"/>
      <c r="F16" s="20"/>
      <c r="G16" s="2"/>
      <c r="H16" s="32"/>
      <c r="I16" s="5"/>
      <c r="J16" s="11">
        <v>2</v>
      </c>
      <c r="K16" s="5" t="s">
        <v>15</v>
      </c>
      <c r="L16" s="2">
        <v>23.8733</v>
      </c>
      <c r="M16" s="2"/>
      <c r="N16" s="37"/>
      <c r="O16" s="2"/>
      <c r="P16" s="40"/>
      <c r="R16" s="11">
        <v>2</v>
      </c>
      <c r="S16" s="2" t="s">
        <v>18</v>
      </c>
      <c r="T16" s="2">
        <v>7.4367999999999999</v>
      </c>
      <c r="U16" s="2"/>
      <c r="V16" s="37"/>
      <c r="W16" s="2"/>
      <c r="X16" s="40"/>
      <c r="Z16" s="11">
        <v>2</v>
      </c>
      <c r="AA16" s="1" t="s">
        <v>19</v>
      </c>
      <c r="AB16" s="2">
        <v>1.7464999999999999</v>
      </c>
      <c r="AC16" s="2"/>
      <c r="AD16" s="37"/>
      <c r="AE16" s="2"/>
      <c r="AF16" s="40"/>
    </row>
    <row r="17" spans="2:32" x14ac:dyDescent="0.35">
      <c r="B17" s="11">
        <v>2</v>
      </c>
      <c r="C17" s="1" t="s">
        <v>0</v>
      </c>
      <c r="D17" s="4">
        <v>89.039599999999993</v>
      </c>
      <c r="E17" s="4"/>
      <c r="F17" s="20"/>
      <c r="G17" s="2"/>
      <c r="H17" s="32"/>
      <c r="I17" s="5"/>
      <c r="J17" s="11">
        <v>2</v>
      </c>
      <c r="K17" s="5" t="s">
        <v>15</v>
      </c>
      <c r="L17" s="2">
        <v>20.714600000000001</v>
      </c>
      <c r="M17" s="2"/>
      <c r="N17" s="37"/>
      <c r="O17" s="2"/>
      <c r="P17" s="40"/>
      <c r="R17" s="11">
        <v>2</v>
      </c>
      <c r="S17" s="2" t="s">
        <v>18</v>
      </c>
      <c r="T17" s="2">
        <v>5.9805000000000001</v>
      </c>
      <c r="U17" s="2"/>
      <c r="V17" s="37"/>
      <c r="W17" s="2"/>
      <c r="X17" s="40"/>
      <c r="Z17" s="11">
        <v>2</v>
      </c>
      <c r="AA17" s="1" t="s">
        <v>19</v>
      </c>
      <c r="AB17" s="2">
        <v>2.5249000000000001</v>
      </c>
      <c r="AC17" s="2"/>
      <c r="AD17" s="37"/>
      <c r="AE17" s="2"/>
      <c r="AF17" s="40"/>
    </row>
    <row r="18" spans="2:32" x14ac:dyDescent="0.35">
      <c r="B18" s="11">
        <v>2</v>
      </c>
      <c r="C18" s="1" t="s">
        <v>0</v>
      </c>
      <c r="D18" s="4">
        <v>100.4319</v>
      </c>
      <c r="E18" s="4"/>
      <c r="F18" s="20"/>
      <c r="G18" s="2"/>
      <c r="H18" s="32"/>
      <c r="I18" s="5"/>
      <c r="J18" s="11">
        <v>2</v>
      </c>
      <c r="K18" s="5" t="s">
        <v>15</v>
      </c>
      <c r="L18" s="2">
        <v>24.082999999999998</v>
      </c>
      <c r="M18" s="2"/>
      <c r="N18" s="37"/>
      <c r="O18" s="2"/>
      <c r="P18" s="40"/>
      <c r="R18" s="11">
        <v>2</v>
      </c>
      <c r="S18" s="2" t="s">
        <v>18</v>
      </c>
      <c r="T18" s="2">
        <v>7.8109999999999999</v>
      </c>
      <c r="U18" s="2"/>
      <c r="V18" s="37"/>
      <c r="W18" s="2"/>
      <c r="X18" s="40"/>
      <c r="Z18" s="11">
        <v>2</v>
      </c>
      <c r="AA18" s="1" t="s">
        <v>19</v>
      </c>
      <c r="AB18" s="2">
        <v>2.1269</v>
      </c>
      <c r="AC18" s="2"/>
      <c r="AD18" s="37"/>
      <c r="AE18" s="2"/>
      <c r="AF18" s="40"/>
    </row>
    <row r="19" spans="2:32" x14ac:dyDescent="0.35">
      <c r="B19" s="11">
        <v>2</v>
      </c>
      <c r="C19" s="1" t="s">
        <v>0</v>
      </c>
      <c r="D19" s="4">
        <v>109.4618</v>
      </c>
      <c r="E19" s="4"/>
      <c r="F19" s="20"/>
      <c r="G19" s="2"/>
      <c r="H19" s="32"/>
      <c r="I19" s="5"/>
      <c r="J19" s="11">
        <v>2</v>
      </c>
      <c r="K19" s="5" t="s">
        <v>15</v>
      </c>
      <c r="L19" s="2">
        <v>19.018599999999999</v>
      </c>
      <c r="M19" s="2"/>
      <c r="N19" s="37"/>
      <c r="O19" s="2"/>
      <c r="P19" s="40"/>
      <c r="R19" s="11">
        <v>2</v>
      </c>
      <c r="S19" s="2" t="s">
        <v>18</v>
      </c>
      <c r="T19" s="2">
        <v>6.1311999999999998</v>
      </c>
      <c r="U19" s="2"/>
      <c r="V19" s="37"/>
      <c r="W19" s="2"/>
      <c r="X19" s="40"/>
      <c r="Z19" s="11">
        <v>2</v>
      </c>
      <c r="AA19" s="1" t="s">
        <v>19</v>
      </c>
      <c r="AB19" s="2">
        <v>2.5505</v>
      </c>
      <c r="AC19" s="2"/>
      <c r="AD19" s="37"/>
      <c r="AE19" s="2"/>
      <c r="AF19" s="40"/>
    </row>
    <row r="20" spans="2:32" x14ac:dyDescent="0.35">
      <c r="B20" s="11">
        <v>2</v>
      </c>
      <c r="C20" s="1" t="s">
        <v>0</v>
      </c>
      <c r="D20" s="4">
        <v>90.184799999999996</v>
      </c>
      <c r="E20" s="4"/>
      <c r="F20" s="20"/>
      <c r="G20" s="2"/>
      <c r="H20" s="32"/>
      <c r="I20" s="5"/>
      <c r="J20" s="11">
        <v>2</v>
      </c>
      <c r="K20" s="5" t="s">
        <v>15</v>
      </c>
      <c r="L20" s="2">
        <v>20.8825</v>
      </c>
      <c r="M20" s="2"/>
      <c r="N20" s="37"/>
      <c r="O20" s="2"/>
      <c r="P20" s="40"/>
      <c r="R20" s="11">
        <v>2</v>
      </c>
      <c r="S20" s="2" t="s">
        <v>18</v>
      </c>
      <c r="T20" s="2">
        <v>7.0567000000000002</v>
      </c>
      <c r="U20" s="2"/>
      <c r="V20" s="37"/>
      <c r="W20" s="2"/>
      <c r="X20" s="40"/>
      <c r="Z20" s="11">
        <v>2</v>
      </c>
      <c r="AA20" s="1" t="s">
        <v>19</v>
      </c>
      <c r="AB20" s="2">
        <v>1.7464999999999999</v>
      </c>
      <c r="AC20" s="2"/>
      <c r="AD20" s="37"/>
      <c r="AE20" s="2"/>
      <c r="AF20" s="40"/>
    </row>
    <row r="21" spans="2:32" x14ac:dyDescent="0.35">
      <c r="B21" s="11">
        <v>2</v>
      </c>
      <c r="C21" s="1" t="s">
        <v>0</v>
      </c>
      <c r="D21" s="4">
        <v>109.4618</v>
      </c>
      <c r="E21" s="4"/>
      <c r="F21" s="20"/>
      <c r="G21" s="2"/>
      <c r="H21" s="32"/>
      <c r="I21" s="5"/>
      <c r="J21" s="11">
        <v>2</v>
      </c>
      <c r="K21" s="5" t="s">
        <v>15</v>
      </c>
      <c r="L21" s="2">
        <v>17.520199999999999</v>
      </c>
      <c r="M21" s="2"/>
      <c r="N21" s="37"/>
      <c r="O21" s="2"/>
      <c r="P21" s="40"/>
      <c r="R21" s="11">
        <v>2</v>
      </c>
      <c r="S21" s="2" t="s">
        <v>18</v>
      </c>
      <c r="T21" s="2">
        <v>6.7140000000000004</v>
      </c>
      <c r="U21" s="2"/>
      <c r="V21" s="37"/>
      <c r="W21" s="2"/>
      <c r="X21" s="40"/>
      <c r="Z21" s="11">
        <v>2</v>
      </c>
      <c r="AA21" s="1" t="s">
        <v>19</v>
      </c>
      <c r="AB21" s="2">
        <v>2.5712000000000002</v>
      </c>
      <c r="AC21" s="2"/>
      <c r="AD21" s="37"/>
      <c r="AE21" s="2"/>
      <c r="AF21" s="40"/>
    </row>
    <row r="22" spans="2:32" x14ac:dyDescent="0.35">
      <c r="B22" s="11">
        <v>2</v>
      </c>
      <c r="C22" s="1" t="s">
        <v>0</v>
      </c>
      <c r="D22" s="4">
        <v>81.694400000000002</v>
      </c>
      <c r="E22" s="4"/>
      <c r="F22" s="20"/>
      <c r="G22" s="2"/>
      <c r="H22" s="32"/>
      <c r="I22" s="5"/>
      <c r="J22" s="11">
        <v>2</v>
      </c>
      <c r="K22" s="5" t="s">
        <v>15</v>
      </c>
      <c r="L22" s="2">
        <v>20.410299999999999</v>
      </c>
      <c r="M22" s="2"/>
      <c r="N22" s="37"/>
      <c r="O22" s="2"/>
      <c r="P22" s="40"/>
      <c r="R22" s="11">
        <v>2</v>
      </c>
      <c r="S22" s="2" t="s">
        <v>18</v>
      </c>
      <c r="T22" s="2">
        <v>5.7983000000000002</v>
      </c>
      <c r="U22" s="2"/>
      <c r="V22" s="37"/>
      <c r="W22" s="2"/>
      <c r="X22" s="40"/>
      <c r="Z22" s="11">
        <v>2</v>
      </c>
      <c r="AA22" s="1" t="s">
        <v>19</v>
      </c>
      <c r="AB22" s="2">
        <v>1.8480000000000001</v>
      </c>
      <c r="AC22" s="2"/>
      <c r="AD22" s="37"/>
      <c r="AE22" s="2"/>
      <c r="AF22" s="40"/>
    </row>
    <row r="23" spans="2:32" x14ac:dyDescent="0.35">
      <c r="B23" s="13">
        <v>2</v>
      </c>
      <c r="C23" s="14" t="s">
        <v>0</v>
      </c>
      <c r="D23" s="15">
        <v>102.2037</v>
      </c>
      <c r="E23" s="15">
        <f>AVERAGE(D15:D23)</f>
        <v>101.34862222222222</v>
      </c>
      <c r="F23" s="21">
        <f>STDEV(D15:D23)</f>
        <v>12.06982312792711</v>
      </c>
      <c r="G23" s="29">
        <f>((E23-$E$41)/$E$41)*100</f>
        <v>10.554027043053456</v>
      </c>
      <c r="H23" s="30">
        <f>(F23/E23)*100</f>
        <v>11.909212837114049</v>
      </c>
      <c r="I23" s="5"/>
      <c r="J23" s="11">
        <v>2</v>
      </c>
      <c r="K23" s="5" t="s">
        <v>15</v>
      </c>
      <c r="L23" s="2">
        <v>19.237300000000001</v>
      </c>
      <c r="M23" s="2"/>
      <c r="N23" s="37"/>
      <c r="O23" s="2"/>
      <c r="P23" s="40"/>
      <c r="R23" s="11">
        <v>2</v>
      </c>
      <c r="S23" s="2" t="s">
        <v>18</v>
      </c>
      <c r="T23" s="2">
        <v>7.7847999999999997</v>
      </c>
      <c r="U23" s="2"/>
      <c r="V23" s="37"/>
      <c r="W23" s="2"/>
      <c r="X23" s="40"/>
      <c r="Z23" s="11">
        <v>2</v>
      </c>
      <c r="AA23" s="1" t="s">
        <v>19</v>
      </c>
      <c r="AB23" s="2">
        <v>2.4611999999999998</v>
      </c>
      <c r="AC23" s="2"/>
      <c r="AD23" s="37"/>
      <c r="AE23" s="2"/>
      <c r="AF23" s="40"/>
    </row>
    <row r="24" spans="2:32" x14ac:dyDescent="0.35">
      <c r="B24" s="6">
        <v>3</v>
      </c>
      <c r="C24" s="7" t="s">
        <v>0</v>
      </c>
      <c r="D24" s="8">
        <v>78.924400000000006</v>
      </c>
      <c r="E24" s="8"/>
      <c r="F24" s="19"/>
      <c r="G24" s="28"/>
      <c r="H24" s="31"/>
      <c r="I24" s="5"/>
      <c r="J24" s="13">
        <v>2</v>
      </c>
      <c r="K24" s="16" t="s">
        <v>15</v>
      </c>
      <c r="L24" s="26">
        <v>17.9376</v>
      </c>
      <c r="M24" s="26">
        <f>AVERAGE(L15:L24)</f>
        <v>20.810300000000002</v>
      </c>
      <c r="N24" s="36">
        <f>STDEV(L15:L24)</f>
        <v>2.5407562500606486</v>
      </c>
      <c r="O24" s="26">
        <f>((M24-$M$42)/$M$42)*100</f>
        <v>7.8810479551820762</v>
      </c>
      <c r="P24" s="41">
        <f>(N24/M24)*100</f>
        <v>12.209128412664153</v>
      </c>
      <c r="R24" s="11">
        <v>2</v>
      </c>
      <c r="S24" s="2" t="s">
        <v>18</v>
      </c>
      <c r="T24" s="2">
        <v>8.2651000000000003</v>
      </c>
      <c r="U24" s="2">
        <f>AVERAGE(T15:T24)</f>
        <v>6.912609999999999</v>
      </c>
      <c r="V24" s="37">
        <f>STDEV(T15:T24)</f>
        <v>0.88432252342934814</v>
      </c>
      <c r="W24" s="26">
        <f>((U24-$U$42)/$U$42)*100</f>
        <v>10.012883039665263</v>
      </c>
      <c r="X24" s="40">
        <f>(V24/U24)*100</f>
        <v>12.792888987362923</v>
      </c>
      <c r="Z24" s="13">
        <v>2</v>
      </c>
      <c r="AA24" s="14" t="s">
        <v>19</v>
      </c>
      <c r="AB24" s="26">
        <v>1.7977000000000001</v>
      </c>
      <c r="AC24" s="26">
        <f>AVERAGE(AB15:AB24)</f>
        <v>2.1578999999999993</v>
      </c>
      <c r="AD24" s="37">
        <f>STDEV(AB15:AB24)</f>
        <v>0.3526329221411143</v>
      </c>
      <c r="AE24" s="2"/>
      <c r="AF24" s="40">
        <f>(AD24/AC24)*100</f>
        <v>16.341485802915539</v>
      </c>
    </row>
    <row r="25" spans="2:32" x14ac:dyDescent="0.35">
      <c r="B25" s="11">
        <v>3</v>
      </c>
      <c r="C25" s="1" t="s">
        <v>0</v>
      </c>
      <c r="D25" s="4">
        <v>86.304900000000004</v>
      </c>
      <c r="E25" s="4"/>
      <c r="F25" s="20"/>
      <c r="G25" s="2"/>
      <c r="H25" s="32"/>
      <c r="I25" s="5"/>
      <c r="J25" s="6">
        <v>3</v>
      </c>
      <c r="K25" s="9" t="s">
        <v>15</v>
      </c>
      <c r="L25" s="28">
        <v>17.4679</v>
      </c>
      <c r="M25" s="28"/>
      <c r="N25" s="38"/>
      <c r="O25" s="28"/>
      <c r="P25" s="39"/>
      <c r="R25" s="6">
        <v>3</v>
      </c>
      <c r="S25" s="28" t="s">
        <v>18</v>
      </c>
      <c r="T25" s="28">
        <v>5.7316000000000003</v>
      </c>
      <c r="U25" s="28">
        <v>5.9260999999999999</v>
      </c>
      <c r="V25" s="38"/>
      <c r="W25" s="28"/>
      <c r="X25" s="39"/>
      <c r="Z25" s="11">
        <v>3</v>
      </c>
      <c r="AA25" s="1" t="s">
        <v>19</v>
      </c>
      <c r="AB25" s="2">
        <v>1.8564000000000001</v>
      </c>
      <c r="AC25" s="2"/>
      <c r="AD25" s="38"/>
      <c r="AE25" s="28"/>
      <c r="AF25" s="39"/>
    </row>
    <row r="26" spans="2:32" x14ac:dyDescent="0.35">
      <c r="B26" s="11">
        <v>3</v>
      </c>
      <c r="C26" s="1" t="s">
        <v>0</v>
      </c>
      <c r="D26" s="4">
        <v>83.466700000000003</v>
      </c>
      <c r="E26" s="4"/>
      <c r="F26" s="20"/>
      <c r="G26" s="2"/>
      <c r="H26" s="32"/>
      <c r="I26" s="5"/>
      <c r="J26" s="11">
        <v>3</v>
      </c>
      <c r="K26" s="5" t="s">
        <v>15</v>
      </c>
      <c r="L26" s="2">
        <v>19.324300000000001</v>
      </c>
      <c r="M26" s="2"/>
      <c r="N26" s="37"/>
      <c r="O26" s="2"/>
      <c r="P26" s="40"/>
      <c r="R26" s="11">
        <v>3</v>
      </c>
      <c r="S26" s="2" t="s">
        <v>18</v>
      </c>
      <c r="T26" s="2">
        <v>6.1783999999999999</v>
      </c>
      <c r="U26" s="2">
        <v>5.9260999999999999</v>
      </c>
      <c r="V26" s="37"/>
      <c r="W26" s="2"/>
      <c r="X26" s="40"/>
      <c r="Z26" s="11">
        <v>3</v>
      </c>
      <c r="AA26" s="1" t="s">
        <v>19</v>
      </c>
      <c r="AB26" s="2">
        <v>1.5335000000000001</v>
      </c>
      <c r="AC26" s="2"/>
      <c r="AD26" s="37"/>
      <c r="AE26" s="2"/>
      <c r="AF26" s="40"/>
    </row>
    <row r="27" spans="2:32" x14ac:dyDescent="0.35">
      <c r="B27" s="11">
        <v>3</v>
      </c>
      <c r="C27" s="1" t="s">
        <v>0</v>
      </c>
      <c r="D27" s="4">
        <v>102.9195</v>
      </c>
      <c r="E27" s="4"/>
      <c r="F27" s="20"/>
      <c r="G27" s="2"/>
      <c r="H27" s="32"/>
      <c r="I27" s="5"/>
      <c r="J27" s="11">
        <v>3</v>
      </c>
      <c r="K27" s="5" t="s">
        <v>15</v>
      </c>
      <c r="L27" s="2">
        <v>18.061900000000001</v>
      </c>
      <c r="M27" s="2"/>
      <c r="N27" s="37"/>
      <c r="O27" s="2"/>
      <c r="P27" s="40"/>
      <c r="R27" s="11">
        <v>3</v>
      </c>
      <c r="S27" s="2" t="s">
        <v>18</v>
      </c>
      <c r="T27" s="2">
        <v>5.7276999999999996</v>
      </c>
      <c r="U27" s="2">
        <v>5.9260999999999999</v>
      </c>
      <c r="V27" s="37"/>
      <c r="W27" s="2"/>
      <c r="X27" s="40"/>
      <c r="Z27" s="11">
        <v>3</v>
      </c>
      <c r="AA27" s="1" t="s">
        <v>19</v>
      </c>
      <c r="AB27" s="2">
        <v>2.1105</v>
      </c>
      <c r="AC27" s="2"/>
      <c r="AD27" s="37"/>
      <c r="AE27" s="2"/>
      <c r="AF27" s="40"/>
    </row>
    <row r="28" spans="2:32" x14ac:dyDescent="0.35">
      <c r="B28" s="11">
        <v>3</v>
      </c>
      <c r="C28" s="1" t="s">
        <v>0</v>
      </c>
      <c r="D28" s="4">
        <v>76.433199999999999</v>
      </c>
      <c r="E28" s="4"/>
      <c r="F28" s="20"/>
      <c r="G28" s="2"/>
      <c r="H28" s="32"/>
      <c r="I28" s="5"/>
      <c r="J28" s="11">
        <v>3</v>
      </c>
      <c r="K28" s="5" t="s">
        <v>15</v>
      </c>
      <c r="L28" s="2">
        <v>21.0307</v>
      </c>
      <c r="M28" s="2"/>
      <c r="N28" s="37"/>
      <c r="O28" s="2"/>
      <c r="P28" s="40"/>
      <c r="R28" s="11">
        <v>3</v>
      </c>
      <c r="S28" s="2" t="s">
        <v>18</v>
      </c>
      <c r="T28" s="2">
        <v>6.3666999999999998</v>
      </c>
      <c r="U28" s="2">
        <v>5.9260999999999999</v>
      </c>
      <c r="V28" s="37"/>
      <c r="W28" s="2"/>
      <c r="X28" s="40"/>
      <c r="Z28" s="11">
        <v>3</v>
      </c>
      <c r="AA28" s="1" t="s">
        <v>19</v>
      </c>
      <c r="AB28" s="2">
        <v>1.6677999999999999</v>
      </c>
      <c r="AC28" s="2"/>
      <c r="AD28" s="37"/>
      <c r="AE28" s="2"/>
      <c r="AF28" s="40"/>
    </row>
    <row r="29" spans="2:32" x14ac:dyDescent="0.35">
      <c r="B29" s="11">
        <v>3</v>
      </c>
      <c r="C29" s="1" t="s">
        <v>0</v>
      </c>
      <c r="D29" s="4">
        <v>91.023099999999999</v>
      </c>
      <c r="E29" s="4"/>
      <c r="F29" s="20"/>
      <c r="G29" s="2"/>
      <c r="H29" s="32"/>
      <c r="I29" s="5"/>
      <c r="J29" s="11">
        <v>3</v>
      </c>
      <c r="K29" s="5" t="s">
        <v>15</v>
      </c>
      <c r="L29" s="2">
        <v>17.8657</v>
      </c>
      <c r="M29" s="2"/>
      <c r="N29" s="37"/>
      <c r="O29" s="2"/>
      <c r="P29" s="40"/>
      <c r="R29" s="11">
        <v>3</v>
      </c>
      <c r="S29" s="2" t="s">
        <v>18</v>
      </c>
      <c r="T29" s="2">
        <v>5.6848000000000001</v>
      </c>
      <c r="U29" s="2">
        <v>5.9260999999999999</v>
      </c>
      <c r="V29" s="37"/>
      <c r="W29" s="2"/>
      <c r="X29" s="40"/>
      <c r="Z29" s="11">
        <v>3</v>
      </c>
      <c r="AA29" s="1" t="s">
        <v>19</v>
      </c>
      <c r="AB29" s="2">
        <v>1.8463000000000001</v>
      </c>
      <c r="AC29" s="2"/>
      <c r="AD29" s="37"/>
      <c r="AE29" s="2"/>
      <c r="AF29" s="40"/>
    </row>
    <row r="30" spans="2:32" x14ac:dyDescent="0.35">
      <c r="B30" s="11">
        <v>3</v>
      </c>
      <c r="C30" s="1" t="s">
        <v>0</v>
      </c>
      <c r="D30" s="4">
        <v>80.227599999999995</v>
      </c>
      <c r="E30" s="4"/>
      <c r="F30" s="20"/>
      <c r="G30" s="2"/>
      <c r="H30" s="32"/>
      <c r="I30" s="5"/>
      <c r="J30" s="11">
        <v>3</v>
      </c>
      <c r="K30" s="5" t="s">
        <v>15</v>
      </c>
      <c r="L30" s="2">
        <v>19.192900000000002</v>
      </c>
      <c r="M30" s="2"/>
      <c r="N30" s="37"/>
      <c r="O30" s="2"/>
      <c r="P30" s="40"/>
      <c r="R30" s="11">
        <v>3</v>
      </c>
      <c r="S30" s="2" t="s">
        <v>18</v>
      </c>
      <c r="T30" s="2">
        <v>6.3711000000000002</v>
      </c>
      <c r="U30" s="2">
        <v>5.9260999999999999</v>
      </c>
      <c r="V30" s="37"/>
      <c r="W30" s="2"/>
      <c r="X30" s="40"/>
      <c r="Z30" s="11">
        <v>3</v>
      </c>
      <c r="AA30" s="1" t="s">
        <v>19</v>
      </c>
      <c r="AB30" s="2">
        <v>1.6883999999999999</v>
      </c>
      <c r="AC30" s="2"/>
      <c r="AD30" s="37"/>
      <c r="AE30" s="2"/>
      <c r="AF30" s="40"/>
    </row>
    <row r="31" spans="2:32" x14ac:dyDescent="0.35">
      <c r="B31" s="11">
        <v>3</v>
      </c>
      <c r="C31" s="1" t="s">
        <v>0</v>
      </c>
      <c r="D31" s="4">
        <v>87.311899999999994</v>
      </c>
      <c r="E31" s="4"/>
      <c r="F31" s="20"/>
      <c r="G31" s="2"/>
      <c r="H31" s="32"/>
      <c r="I31" s="5"/>
      <c r="J31" s="11">
        <v>3</v>
      </c>
      <c r="K31" s="5" t="s">
        <v>15</v>
      </c>
      <c r="L31" s="2">
        <v>19.469899999999999</v>
      </c>
      <c r="M31" s="2"/>
      <c r="N31" s="37"/>
      <c r="O31" s="2"/>
      <c r="P31" s="40"/>
      <c r="R31" s="11">
        <v>3</v>
      </c>
      <c r="S31" s="2" t="s">
        <v>18</v>
      </c>
      <c r="T31" s="2">
        <v>5.1632999999999996</v>
      </c>
      <c r="U31" s="2">
        <v>5.9260999999999999</v>
      </c>
      <c r="V31" s="37"/>
      <c r="W31" s="2"/>
      <c r="X31" s="40"/>
      <c r="Z31" s="11">
        <v>3</v>
      </c>
      <c r="AA31" s="1" t="s">
        <v>19</v>
      </c>
      <c r="AB31" s="2">
        <v>1.6163000000000001</v>
      </c>
      <c r="AC31" s="2"/>
      <c r="AD31" s="37"/>
      <c r="AE31" s="2"/>
      <c r="AF31" s="40"/>
    </row>
    <row r="32" spans="2:32" x14ac:dyDescent="0.35">
      <c r="B32" s="11">
        <v>3</v>
      </c>
      <c r="C32" s="1" t="s">
        <v>0</v>
      </c>
      <c r="D32" s="4">
        <v>84.095600000000005</v>
      </c>
      <c r="E32" s="4"/>
      <c r="F32" s="20"/>
      <c r="G32" s="2"/>
      <c r="H32" s="32"/>
      <c r="I32" s="5"/>
      <c r="J32" s="11">
        <v>3</v>
      </c>
      <c r="K32" s="5" t="s">
        <v>15</v>
      </c>
      <c r="L32" s="2">
        <v>19.443300000000001</v>
      </c>
      <c r="M32" s="2"/>
      <c r="N32" s="37"/>
      <c r="O32" s="2"/>
      <c r="P32" s="40"/>
      <c r="R32" s="11">
        <v>3</v>
      </c>
      <c r="S32" s="2" t="s">
        <v>18</v>
      </c>
      <c r="T32" s="2">
        <v>5.5963000000000003</v>
      </c>
      <c r="U32" s="2">
        <v>5.9260999999999999</v>
      </c>
      <c r="V32" s="37"/>
      <c r="W32" s="2"/>
      <c r="X32" s="40"/>
      <c r="Z32" s="11">
        <v>3</v>
      </c>
      <c r="AA32" s="1" t="s">
        <v>19</v>
      </c>
      <c r="AB32" s="2">
        <v>1.4690000000000001</v>
      </c>
      <c r="AC32" s="2">
        <f>AVERAGE(AB25:AB32)</f>
        <v>1.723525</v>
      </c>
      <c r="AD32" s="37">
        <f>STDEV(AB25:AB32)</f>
        <v>0.20674616424149572</v>
      </c>
      <c r="AE32" s="2"/>
      <c r="AF32" s="40">
        <f>(AD32/AC32)*100</f>
        <v>11.995541941166838</v>
      </c>
    </row>
    <row r="33" spans="2:32" x14ac:dyDescent="0.35">
      <c r="B33" s="13">
        <v>3</v>
      </c>
      <c r="C33" s="14" t="s">
        <v>0</v>
      </c>
      <c r="D33" s="15">
        <v>90.4041</v>
      </c>
      <c r="E33" s="15">
        <f>AVERAGE(D24:D33)</f>
        <v>86.111099999999993</v>
      </c>
      <c r="F33" s="20">
        <f>STDEV(D24:D33)</f>
        <v>7.5831718063383233</v>
      </c>
      <c r="G33" s="29">
        <f>((E33-$E$41)/$E$41)*100</f>
        <v>-6.0675057108009574</v>
      </c>
      <c r="H33" s="30">
        <f>(F33/E33)*100</f>
        <v>8.8062651694593654</v>
      </c>
      <c r="I33" s="5"/>
      <c r="J33" s="11">
        <v>3</v>
      </c>
      <c r="K33" s="5" t="s">
        <v>15</v>
      </c>
      <c r="L33" s="2">
        <v>15.876300000000001</v>
      </c>
      <c r="M33" s="2"/>
      <c r="N33" s="37"/>
      <c r="O33" s="2"/>
      <c r="P33" s="40"/>
      <c r="R33" s="11">
        <v>3</v>
      </c>
      <c r="S33" s="2" t="s">
        <v>18</v>
      </c>
      <c r="T33" s="2">
        <v>6.0243000000000002</v>
      </c>
      <c r="U33" s="2">
        <v>5.9260999999999999</v>
      </c>
      <c r="V33" s="37"/>
      <c r="W33" s="2"/>
      <c r="X33" s="40"/>
      <c r="Z33" s="6">
        <v>4</v>
      </c>
      <c r="AA33" s="7" t="s">
        <v>19</v>
      </c>
      <c r="AB33" s="28">
        <v>1.7643</v>
      </c>
      <c r="AC33" s="28"/>
      <c r="AD33" s="38"/>
      <c r="AE33" s="28"/>
      <c r="AF33" s="39"/>
    </row>
    <row r="34" spans="2:32" x14ac:dyDescent="0.35">
      <c r="B34" s="11">
        <v>4</v>
      </c>
      <c r="C34" s="1" t="s">
        <v>0</v>
      </c>
      <c r="D34" s="4">
        <v>90.727000000000004</v>
      </c>
      <c r="E34" s="4"/>
      <c r="F34" s="19"/>
      <c r="G34" s="28"/>
      <c r="H34" s="31"/>
      <c r="I34" s="5"/>
      <c r="J34" s="11">
        <v>3</v>
      </c>
      <c r="K34" s="5" t="s">
        <v>15</v>
      </c>
      <c r="L34" s="2">
        <v>18.0989</v>
      </c>
      <c r="M34" s="2">
        <f>AVERAGE(L25:L34)</f>
        <v>18.583179999999999</v>
      </c>
      <c r="N34" s="37">
        <f>STDEV(L25:L34)</f>
        <v>1.4153733930584456</v>
      </c>
      <c r="O34" s="26">
        <f>((M34-$M$42)/$M$42)*100</f>
        <v>-3.66439057871438</v>
      </c>
      <c r="P34" s="41">
        <f>(N34/M34)*100</f>
        <v>7.6164219098047035</v>
      </c>
      <c r="R34" s="13">
        <v>3</v>
      </c>
      <c r="S34" s="26" t="s">
        <v>18</v>
      </c>
      <c r="T34" s="26">
        <v>6.5608000000000004</v>
      </c>
      <c r="U34" s="26">
        <f>AVERAGE(T25:T34)</f>
        <v>5.9405000000000001</v>
      </c>
      <c r="V34" s="36">
        <f>STDEV(T25:T34)</f>
        <v>0.43362461492247739</v>
      </c>
      <c r="W34" s="26">
        <f>((U34-$U$42)/$U$42)*100</f>
        <v>-5.4580640746213653</v>
      </c>
      <c r="X34" s="41">
        <f>(V34/U34)*100</f>
        <v>7.2994632593633089</v>
      </c>
      <c r="Z34" s="11">
        <v>4</v>
      </c>
      <c r="AA34" s="1" t="s">
        <v>19</v>
      </c>
      <c r="AB34" s="2">
        <v>1.9379</v>
      </c>
      <c r="AC34" s="2"/>
      <c r="AD34" s="37"/>
      <c r="AE34" s="2"/>
      <c r="AF34" s="40"/>
    </row>
    <row r="35" spans="2:32" x14ac:dyDescent="0.35">
      <c r="B35" s="11">
        <v>4</v>
      </c>
      <c r="C35" s="1" t="s">
        <v>0</v>
      </c>
      <c r="D35" s="4">
        <v>91.889499999999998</v>
      </c>
      <c r="E35" s="4"/>
      <c r="F35" s="20"/>
      <c r="G35" s="2"/>
      <c r="H35" s="32"/>
      <c r="I35" s="5"/>
      <c r="J35" s="6">
        <v>4</v>
      </c>
      <c r="K35" s="9" t="s">
        <v>15</v>
      </c>
      <c r="L35" s="28">
        <v>21.6692</v>
      </c>
      <c r="M35" s="28"/>
      <c r="N35" s="38"/>
      <c r="O35" s="28"/>
      <c r="P35" s="39"/>
      <c r="R35" s="11">
        <v>4</v>
      </c>
      <c r="S35" s="2" t="s">
        <v>18</v>
      </c>
      <c r="T35" s="2">
        <v>5.8037999999999998</v>
      </c>
      <c r="U35" s="2"/>
      <c r="V35" s="37"/>
      <c r="W35" s="2"/>
      <c r="X35" s="40"/>
      <c r="Z35" s="11">
        <v>4</v>
      </c>
      <c r="AA35" s="1" t="s">
        <v>19</v>
      </c>
      <c r="AB35" s="2">
        <v>2.1356000000000002</v>
      </c>
      <c r="AC35" s="2"/>
      <c r="AD35" s="37"/>
      <c r="AE35" s="2"/>
      <c r="AF35" s="40"/>
    </row>
    <row r="36" spans="2:32" x14ac:dyDescent="0.35">
      <c r="B36" s="11">
        <v>4</v>
      </c>
      <c r="C36" s="1" t="s">
        <v>0</v>
      </c>
      <c r="D36" s="4">
        <v>89.040599999999998</v>
      </c>
      <c r="E36" s="4"/>
      <c r="F36" s="20"/>
      <c r="G36" s="2"/>
      <c r="H36" s="32"/>
      <c r="I36" s="5"/>
      <c r="J36" s="11">
        <v>4</v>
      </c>
      <c r="K36" s="5" t="s">
        <v>15</v>
      </c>
      <c r="L36" s="2">
        <v>19.9682</v>
      </c>
      <c r="M36" s="2"/>
      <c r="N36" s="37"/>
      <c r="O36" s="2"/>
      <c r="P36" s="40"/>
      <c r="R36" s="11">
        <v>4</v>
      </c>
      <c r="S36" s="2" t="s">
        <v>18</v>
      </c>
      <c r="T36" s="2">
        <v>5.4131</v>
      </c>
      <c r="U36" s="2"/>
      <c r="V36" s="37"/>
      <c r="W36" s="2"/>
      <c r="X36" s="40"/>
      <c r="Z36" s="13">
        <v>4</v>
      </c>
      <c r="AA36" s="14" t="s">
        <v>19</v>
      </c>
      <c r="AB36" s="26">
        <v>1.5462</v>
      </c>
      <c r="AC36" s="26">
        <f>AVERAGE(AB33:AB36)</f>
        <v>1.8459999999999999</v>
      </c>
      <c r="AD36" s="36">
        <f>STDEV(AB33:AB36)</f>
        <v>0.25091080752596939</v>
      </c>
      <c r="AE36" s="26"/>
      <c r="AF36" s="41">
        <f>(AD36/AC36)*100</f>
        <v>13.592134752219362</v>
      </c>
    </row>
    <row r="37" spans="2:32" x14ac:dyDescent="0.35">
      <c r="B37" s="11">
        <v>4</v>
      </c>
      <c r="C37" s="1" t="s">
        <v>0</v>
      </c>
      <c r="D37" s="4">
        <v>100.3874</v>
      </c>
      <c r="E37" s="4"/>
      <c r="F37" s="20"/>
      <c r="G37" s="2"/>
      <c r="H37" s="32"/>
      <c r="I37" s="5"/>
      <c r="J37" s="11">
        <v>4</v>
      </c>
      <c r="K37" s="5" t="s">
        <v>15</v>
      </c>
      <c r="L37" s="2">
        <v>19.649699999999999</v>
      </c>
      <c r="M37" s="2"/>
      <c r="N37" s="37"/>
      <c r="O37" s="2"/>
      <c r="P37" s="40"/>
      <c r="R37" s="11">
        <v>4</v>
      </c>
      <c r="S37" s="2" t="s">
        <v>18</v>
      </c>
      <c r="T37" s="2">
        <v>6.3532999999999999</v>
      </c>
      <c r="U37" s="2"/>
      <c r="V37" s="37"/>
      <c r="W37" s="2"/>
      <c r="X37" s="40"/>
      <c r="Z37" s="24" t="s">
        <v>11</v>
      </c>
      <c r="AA37" s="1"/>
      <c r="AB37" s="1"/>
      <c r="AC37" s="4"/>
      <c r="AD37" s="4">
        <f>STDEV(AD14,AD24,AD32,AD36)</f>
        <v>6.1157854261828272E-2</v>
      </c>
      <c r="AE37" s="4"/>
      <c r="AF37" s="4">
        <f>AVERAGE(AF36,AF32,AF24,AF14)</f>
        <v>14.430505770348006</v>
      </c>
    </row>
    <row r="38" spans="2:32" x14ac:dyDescent="0.35">
      <c r="B38" s="11">
        <v>4</v>
      </c>
      <c r="C38" s="1" t="s">
        <v>0</v>
      </c>
      <c r="D38" s="4">
        <v>94.3857</v>
      </c>
      <c r="E38" s="4"/>
      <c r="F38" s="20"/>
      <c r="G38" s="2"/>
      <c r="H38" s="32"/>
      <c r="I38" s="5"/>
      <c r="J38" s="11">
        <v>4</v>
      </c>
      <c r="K38" s="5" t="s">
        <v>15</v>
      </c>
      <c r="L38" s="2">
        <v>20.941199999999998</v>
      </c>
      <c r="M38" s="2"/>
      <c r="N38" s="37"/>
      <c r="O38" s="2"/>
      <c r="P38" s="40"/>
      <c r="R38" s="11">
        <v>4</v>
      </c>
      <c r="S38" s="2" t="s">
        <v>18</v>
      </c>
      <c r="T38" s="2">
        <v>7.0818000000000003</v>
      </c>
      <c r="U38" s="2"/>
      <c r="V38" s="37"/>
      <c r="W38" s="2"/>
      <c r="X38" s="40"/>
      <c r="Z38" t="s">
        <v>12</v>
      </c>
      <c r="AA38" s="1"/>
      <c r="AB38" s="1"/>
      <c r="AC38" s="4">
        <f>AVERAGE(AC14,AC24,AC32,AC36)</f>
        <v>1.8498787499999998</v>
      </c>
      <c r="AD38" s="4">
        <f>STDEV(AC14,AC24,AC32,AC36)</f>
        <v>0.21791913249242179</v>
      </c>
      <c r="AE38" s="4"/>
      <c r="AF38" s="4">
        <f>(AD38/AC38)*100</f>
        <v>11.780184646827356</v>
      </c>
    </row>
    <row r="39" spans="2:32" x14ac:dyDescent="0.35">
      <c r="B39" s="13">
        <v>4</v>
      </c>
      <c r="C39" s="14" t="s">
        <v>0</v>
      </c>
      <c r="D39" s="15">
        <v>93.881100000000004</v>
      </c>
      <c r="E39" s="15">
        <f>AVERAGE(D34:D38)</f>
        <v>93.28604</v>
      </c>
      <c r="F39" s="21">
        <f>STDEV(D34:D39)</f>
        <v>3.9612224574828749</v>
      </c>
      <c r="G39" s="33">
        <f>((E39-$E$41)/$E$41)*100</f>
        <v>1.7591276799622135</v>
      </c>
      <c r="H39" s="34">
        <f>(F39/E39)*100</f>
        <v>4.2463185890224038</v>
      </c>
      <c r="I39" s="5"/>
      <c r="J39" s="11">
        <v>4</v>
      </c>
      <c r="K39" s="5" t="s">
        <v>15</v>
      </c>
      <c r="L39" s="2">
        <v>19.104399999999998</v>
      </c>
      <c r="M39" s="2"/>
      <c r="N39" s="37"/>
      <c r="O39" s="2"/>
      <c r="P39" s="40"/>
      <c r="R39" s="11">
        <v>4</v>
      </c>
      <c r="S39" s="2" t="s">
        <v>18</v>
      </c>
      <c r="T39" s="2">
        <v>7.1485000000000003</v>
      </c>
      <c r="U39" s="2"/>
      <c r="V39" s="37"/>
      <c r="W39" s="2"/>
      <c r="X39" s="40"/>
      <c r="Z39" t="s">
        <v>13</v>
      </c>
      <c r="AA39" s="1"/>
      <c r="AB39" s="1"/>
      <c r="AC39" s="4">
        <f>AVERAGE(AB5:AB36)</f>
        <v>1.8585031249999999</v>
      </c>
      <c r="AD39" s="4">
        <f>STDEV(AB5:AB36)</f>
        <v>0.34196248189264616</v>
      </c>
      <c r="AE39" s="4"/>
      <c r="AF39" s="4">
        <f>(AD39/AC39)*100</f>
        <v>18.399887376710556</v>
      </c>
    </row>
    <row r="40" spans="2:32" x14ac:dyDescent="0.35">
      <c r="B40" s="24" t="s">
        <v>11</v>
      </c>
      <c r="E40" s="4"/>
      <c r="F40" s="4">
        <f>AVERAGE(F5:F39)</f>
        <v>7.4497015941164495</v>
      </c>
      <c r="G40" s="25"/>
      <c r="H40" s="25">
        <f>AVERAGE(H5:H39)</f>
        <v>8.0393869065531902</v>
      </c>
      <c r="I40" s="5"/>
      <c r="J40" s="13">
        <v>4</v>
      </c>
      <c r="K40" s="27" t="s">
        <v>15</v>
      </c>
      <c r="L40" s="26">
        <v>18.070900000000002</v>
      </c>
      <c r="M40" s="26">
        <f>AVERAGE(L35:L40)</f>
        <v>19.900599999999997</v>
      </c>
      <c r="N40" s="36">
        <f>STDEV(L35:L40)</f>
        <v>1.2853055216562319</v>
      </c>
      <c r="O40" s="26">
        <f>((M40-$M$42)/$M$42)*100</f>
        <v>3.1651433634736619</v>
      </c>
      <c r="P40" s="41">
        <f>(N40/M40)*100</f>
        <v>6.4586269843935966</v>
      </c>
      <c r="R40" s="13">
        <v>4</v>
      </c>
      <c r="S40" s="26" t="s">
        <v>18</v>
      </c>
      <c r="T40" s="26">
        <v>6.9501999999999997</v>
      </c>
      <c r="U40" s="26">
        <f>AVERAGE(T35:T40)</f>
        <v>6.45845</v>
      </c>
      <c r="V40" s="36">
        <f>STDEV(T35:T40)</f>
        <v>0.72648909902351566</v>
      </c>
      <c r="W40" s="26">
        <f>((U40-$U$42)/$U$42)*100</f>
        <v>2.7850123857018154</v>
      </c>
      <c r="X40" s="41">
        <f>(V40/U40)*100</f>
        <v>11.248660267146384</v>
      </c>
    </row>
    <row r="41" spans="2:32" x14ac:dyDescent="0.35">
      <c r="B41" t="s">
        <v>12</v>
      </c>
      <c r="E41" s="4">
        <f>AVERAGE(E14,E23,E33,E39)</f>
        <v>91.673388055555549</v>
      </c>
      <c r="F41" s="4">
        <f>STDEV(E14,E23,E33,E39)</f>
        <v>7.3014227832779746</v>
      </c>
      <c r="H41" s="25">
        <f>(F41/E41)*100</f>
        <v>7.964604492258097</v>
      </c>
      <c r="J41" s="24" t="s">
        <v>11</v>
      </c>
      <c r="M41" s="4"/>
      <c r="N41" s="4">
        <f>AVERAGE(N14,N24,N34,N40)</f>
        <v>1.8624190329058772</v>
      </c>
      <c r="O41" s="4"/>
      <c r="P41" s="4">
        <f>AVERAGE(P14,P24,P34,P40)</f>
        <v>9.6610334721416447</v>
      </c>
      <c r="R41" s="24" t="s">
        <v>11</v>
      </c>
      <c r="U41" s="4"/>
      <c r="V41" s="4">
        <f>AVERAGE(V14,V24,V34,V40)</f>
        <v>0.67818267427316703</v>
      </c>
      <c r="W41" s="4"/>
      <c r="X41" s="4">
        <f>AVERAGE(X40,X34,X24,X14)</f>
        <v>10.704819498388627</v>
      </c>
    </row>
    <row r="42" spans="2:32" x14ac:dyDescent="0.35">
      <c r="B42" t="s">
        <v>13</v>
      </c>
      <c r="E42" s="4">
        <f>AVERAGE(D5:D39)</f>
        <v>91.229651428571444</v>
      </c>
      <c r="F42" s="4">
        <f>STDEV(D5:D39)</f>
        <v>10.284313249609708</v>
      </c>
      <c r="G42" s="1"/>
      <c r="H42" s="25">
        <f>(F42/E42)*100</f>
        <v>11.272994129175036</v>
      </c>
      <c r="J42" t="s">
        <v>12</v>
      </c>
      <c r="M42" s="4">
        <f>AVERAGE(M14,M24,M34,M40)</f>
        <v>19.290042499999998</v>
      </c>
      <c r="N42" s="4">
        <f>STDEV(M14,M24,M34,M40)</f>
        <v>1.3179856654854034</v>
      </c>
      <c r="O42" s="4"/>
      <c r="P42" s="4">
        <f>(N42/M42)*100</f>
        <v>6.8324663643711698</v>
      </c>
      <c r="R42" t="s">
        <v>12</v>
      </c>
      <c r="U42" s="4">
        <f>AVERAGE(U14,U24,U34,U40)</f>
        <v>6.283455</v>
      </c>
      <c r="V42" s="4">
        <f>STDEV(U14,U24,U34,U40)</f>
        <v>0.50225432604740461</v>
      </c>
      <c r="W42" s="5"/>
      <c r="X42" s="4">
        <f>(V42/U42)*100</f>
        <v>7.9932827727325906</v>
      </c>
      <c r="AB42" s="3"/>
    </row>
    <row r="43" spans="2:32" x14ac:dyDescent="0.35">
      <c r="J43" t="s">
        <v>13</v>
      </c>
      <c r="M43" s="4">
        <f>AVERAGE(L5:L40)</f>
        <v>19.222202777777781</v>
      </c>
      <c r="N43" s="4">
        <f>STDEV(L5:L40)</f>
        <v>2.2597806896733368</v>
      </c>
      <c r="O43" s="4"/>
      <c r="P43" s="4">
        <f>(N43/M43)*100</f>
        <v>11.756096404756494</v>
      </c>
      <c r="R43" t="s">
        <v>13</v>
      </c>
      <c r="U43" s="4">
        <f>AVERAGE(T5:T40)</f>
        <v>6.2640111111111132</v>
      </c>
      <c r="V43" s="4">
        <f>STDEV(T5:T40)</f>
        <v>0.80747716492355237</v>
      </c>
      <c r="W43" s="4"/>
      <c r="X43" s="4">
        <f>(V43/U43)*100</f>
        <v>12.890736472214234</v>
      </c>
    </row>
    <row r="47" spans="2:32" x14ac:dyDescent="0.35">
      <c r="B47" s="22"/>
      <c r="C47" s="17"/>
      <c r="D47" s="17"/>
      <c r="E47" s="17"/>
      <c r="F47" s="6" t="s">
        <v>10</v>
      </c>
      <c r="G47" s="17"/>
      <c r="H47" s="18"/>
      <c r="J47" s="22"/>
      <c r="K47" s="17"/>
      <c r="L47" s="17"/>
      <c r="M47" s="17"/>
      <c r="N47" s="6" t="s">
        <v>10</v>
      </c>
      <c r="O47" s="17"/>
      <c r="P47" s="18"/>
      <c r="R47" s="22"/>
      <c r="S47" s="17"/>
      <c r="T47" s="17"/>
      <c r="U47" s="17"/>
      <c r="V47" s="6" t="s">
        <v>10</v>
      </c>
      <c r="W47" s="17"/>
      <c r="X47" s="18"/>
    </row>
    <row r="48" spans="2:32" x14ac:dyDescent="0.35">
      <c r="B48" s="13" t="s">
        <v>1</v>
      </c>
      <c r="C48" s="14" t="s">
        <v>5</v>
      </c>
      <c r="D48" s="14" t="s">
        <v>7</v>
      </c>
      <c r="E48" s="14" t="s">
        <v>8</v>
      </c>
      <c r="F48" s="13" t="s">
        <v>9</v>
      </c>
      <c r="G48" s="14" t="s">
        <v>16</v>
      </c>
      <c r="H48" s="23" t="s">
        <v>17</v>
      </c>
      <c r="J48" s="13" t="s">
        <v>1</v>
      </c>
      <c r="K48" s="14" t="s">
        <v>5</v>
      </c>
      <c r="L48" s="14" t="s">
        <v>7</v>
      </c>
      <c r="M48" s="14" t="s">
        <v>8</v>
      </c>
      <c r="N48" s="13" t="s">
        <v>9</v>
      </c>
      <c r="O48" s="14" t="s">
        <v>16</v>
      </c>
      <c r="P48" s="23" t="s">
        <v>17</v>
      </c>
      <c r="R48" s="13" t="s">
        <v>1</v>
      </c>
      <c r="S48" s="14" t="s">
        <v>5</v>
      </c>
      <c r="T48" s="14" t="s">
        <v>7</v>
      </c>
      <c r="U48" s="14" t="s">
        <v>8</v>
      </c>
      <c r="V48" s="13" t="s">
        <v>9</v>
      </c>
      <c r="W48" s="14" t="s">
        <v>16</v>
      </c>
      <c r="X48" s="23" t="s">
        <v>17</v>
      </c>
    </row>
    <row r="49" spans="2:24" x14ac:dyDescent="0.35">
      <c r="B49" s="6">
        <v>1</v>
      </c>
      <c r="C49" s="7" t="s">
        <v>20</v>
      </c>
      <c r="D49" s="28">
        <v>75.655500000000004</v>
      </c>
      <c r="E49" s="28"/>
      <c r="F49" s="38"/>
      <c r="G49" s="28"/>
      <c r="H49" s="39"/>
      <c r="J49" s="6">
        <v>1</v>
      </c>
      <c r="K49" s="7" t="s">
        <v>21</v>
      </c>
      <c r="L49" s="28">
        <v>2.2025000000000001</v>
      </c>
      <c r="M49" s="28"/>
      <c r="N49" s="38"/>
      <c r="O49" s="28"/>
      <c r="P49" s="39"/>
      <c r="R49" s="6">
        <v>1</v>
      </c>
      <c r="S49" s="7" t="s">
        <v>22</v>
      </c>
      <c r="T49" s="28">
        <v>7.0999999999999994E-2</v>
      </c>
      <c r="U49" s="28"/>
      <c r="V49" s="38"/>
      <c r="W49" s="28"/>
      <c r="X49" s="39"/>
    </row>
    <row r="50" spans="2:24" x14ac:dyDescent="0.35">
      <c r="B50" s="11">
        <v>1</v>
      </c>
      <c r="C50" s="1" t="s">
        <v>20</v>
      </c>
      <c r="D50" s="2">
        <v>58.154600000000002</v>
      </c>
      <c r="E50" s="2"/>
      <c r="F50" s="37"/>
      <c r="G50" s="2"/>
      <c r="H50" s="40"/>
      <c r="J50" s="11">
        <v>1</v>
      </c>
      <c r="K50" s="1" t="s">
        <v>21</v>
      </c>
      <c r="L50" s="2">
        <v>1.875</v>
      </c>
      <c r="M50" s="2"/>
      <c r="N50" s="37"/>
      <c r="O50" s="2"/>
      <c r="P50" s="40"/>
      <c r="R50" s="11">
        <v>1</v>
      </c>
      <c r="S50" s="1" t="s">
        <v>22</v>
      </c>
      <c r="T50" s="2">
        <v>8.2699999999999996E-2</v>
      </c>
      <c r="U50" s="2"/>
      <c r="V50" s="37"/>
      <c r="W50" s="2"/>
      <c r="X50" s="40"/>
    </row>
    <row r="51" spans="2:24" x14ac:dyDescent="0.35">
      <c r="B51" s="11">
        <v>1</v>
      </c>
      <c r="C51" s="1" t="s">
        <v>20</v>
      </c>
      <c r="D51" s="2">
        <v>61.853299999999997</v>
      </c>
      <c r="E51" s="2"/>
      <c r="F51" s="37"/>
      <c r="G51" s="2"/>
      <c r="H51" s="40"/>
      <c r="J51" s="11">
        <v>1</v>
      </c>
      <c r="K51" s="1" t="s">
        <v>21</v>
      </c>
      <c r="L51" s="2">
        <v>2.7256</v>
      </c>
      <c r="M51" s="2"/>
      <c r="N51" s="37"/>
      <c r="O51" s="2"/>
      <c r="P51" s="40"/>
      <c r="R51" s="11">
        <v>1</v>
      </c>
      <c r="S51" s="1" t="s">
        <v>22</v>
      </c>
      <c r="T51" s="2">
        <v>0.1026</v>
      </c>
      <c r="U51" s="2"/>
      <c r="V51" s="37"/>
      <c r="W51" s="2"/>
      <c r="X51" s="40"/>
    </row>
    <row r="52" spans="2:24" x14ac:dyDescent="0.35">
      <c r="B52" s="11">
        <v>1</v>
      </c>
      <c r="C52" s="1" t="s">
        <v>20</v>
      </c>
      <c r="D52" s="2">
        <v>62.749600000000001</v>
      </c>
      <c r="E52" s="2"/>
      <c r="F52" s="37"/>
      <c r="G52" s="2"/>
      <c r="H52" s="40"/>
      <c r="J52" s="11">
        <v>1</v>
      </c>
      <c r="K52" s="1" t="s">
        <v>21</v>
      </c>
      <c r="L52" s="2">
        <v>2.6446999999999998</v>
      </c>
      <c r="M52" s="2"/>
      <c r="N52" s="37"/>
      <c r="O52" s="2"/>
      <c r="P52" s="40"/>
      <c r="R52" s="11">
        <v>1</v>
      </c>
      <c r="S52" s="1" t="s">
        <v>22</v>
      </c>
      <c r="T52" s="2">
        <v>0.1108</v>
      </c>
      <c r="U52" s="2"/>
      <c r="V52" s="37"/>
      <c r="W52" s="2"/>
      <c r="X52" s="40"/>
    </row>
    <row r="53" spans="2:24" x14ac:dyDescent="0.35">
      <c r="B53" s="11">
        <v>1</v>
      </c>
      <c r="C53" s="1" t="s">
        <v>20</v>
      </c>
      <c r="D53" s="2">
        <v>68.547899999999998</v>
      </c>
      <c r="E53" s="2"/>
      <c r="F53" s="37"/>
      <c r="G53" s="2"/>
      <c r="H53" s="40"/>
      <c r="J53" s="11">
        <v>1</v>
      </c>
      <c r="K53" s="1" t="s">
        <v>21</v>
      </c>
      <c r="L53" s="2">
        <v>2.2715000000000001</v>
      </c>
      <c r="M53" s="2"/>
      <c r="N53" s="37"/>
      <c r="O53" s="2"/>
      <c r="P53" s="40"/>
      <c r="R53" s="11">
        <v>1</v>
      </c>
      <c r="S53" s="1" t="s">
        <v>22</v>
      </c>
      <c r="T53" s="2">
        <v>9.5799999999999996E-2</v>
      </c>
      <c r="U53" s="2"/>
      <c r="V53" s="37"/>
      <c r="W53" s="2"/>
      <c r="X53" s="40"/>
    </row>
    <row r="54" spans="2:24" x14ac:dyDescent="0.35">
      <c r="B54" s="11">
        <v>1</v>
      </c>
      <c r="C54" s="1" t="s">
        <v>20</v>
      </c>
      <c r="D54" s="2">
        <v>60.5535</v>
      </c>
      <c r="E54" s="2"/>
      <c r="F54" s="37"/>
      <c r="G54" s="2"/>
      <c r="H54" s="40"/>
      <c r="J54" s="11">
        <v>1</v>
      </c>
      <c r="K54" s="1" t="s">
        <v>21</v>
      </c>
      <c r="L54" s="2">
        <v>2.9794999999999998</v>
      </c>
      <c r="M54" s="2"/>
      <c r="N54" s="37"/>
      <c r="O54" s="2"/>
      <c r="P54" s="40"/>
      <c r="R54" s="11">
        <v>1</v>
      </c>
      <c r="S54" s="1" t="s">
        <v>22</v>
      </c>
      <c r="T54" s="2">
        <v>9.7500000000000003E-2</v>
      </c>
      <c r="U54" s="2"/>
      <c r="V54" s="37"/>
      <c r="W54" s="2"/>
      <c r="X54" s="40"/>
    </row>
    <row r="55" spans="2:24" x14ac:dyDescent="0.35">
      <c r="B55" s="11">
        <v>1</v>
      </c>
      <c r="C55" s="1" t="s">
        <v>20</v>
      </c>
      <c r="D55" s="2">
        <v>64.803100000000001</v>
      </c>
      <c r="E55" s="2"/>
      <c r="F55" s="37"/>
      <c r="G55" s="2"/>
      <c r="H55" s="40"/>
      <c r="J55" s="11">
        <v>1</v>
      </c>
      <c r="K55" s="1" t="s">
        <v>21</v>
      </c>
      <c r="L55" s="2">
        <v>3.2862</v>
      </c>
      <c r="M55" s="2"/>
      <c r="N55" s="37"/>
      <c r="O55" s="2"/>
      <c r="P55" s="40"/>
      <c r="R55" s="11">
        <v>1</v>
      </c>
      <c r="S55" s="1" t="s">
        <v>22</v>
      </c>
      <c r="T55" s="2">
        <v>9.0899999999999995E-2</v>
      </c>
      <c r="U55" s="2"/>
      <c r="V55" s="37"/>
      <c r="W55" s="2"/>
      <c r="X55" s="40"/>
    </row>
    <row r="56" spans="2:24" x14ac:dyDescent="0.35">
      <c r="B56" s="11">
        <v>1</v>
      </c>
      <c r="C56" s="1" t="s">
        <v>20</v>
      </c>
      <c r="D56" s="2">
        <v>62.492199999999997</v>
      </c>
      <c r="E56" s="2"/>
      <c r="F56" s="37"/>
      <c r="G56" s="2"/>
      <c r="H56" s="40"/>
      <c r="J56" s="11">
        <v>1</v>
      </c>
      <c r="K56" s="1" t="s">
        <v>21</v>
      </c>
      <c r="L56" s="2">
        <v>2.9449999999999998</v>
      </c>
      <c r="M56" s="2"/>
      <c r="N56" s="37"/>
      <c r="O56" s="2"/>
      <c r="P56" s="40"/>
      <c r="R56" s="11">
        <v>1</v>
      </c>
      <c r="S56" s="1" t="s">
        <v>22</v>
      </c>
      <c r="T56" s="2">
        <v>8.0799999999999997E-2</v>
      </c>
      <c r="U56" s="2"/>
      <c r="V56" s="37"/>
      <c r="W56" s="2"/>
      <c r="X56" s="40"/>
    </row>
    <row r="57" spans="2:24" x14ac:dyDescent="0.35">
      <c r="B57" s="11">
        <v>1</v>
      </c>
      <c r="C57" s="1" t="s">
        <v>20</v>
      </c>
      <c r="D57" s="2">
        <v>73.559899999999999</v>
      </c>
      <c r="E57" s="2"/>
      <c r="F57" s="37"/>
      <c r="G57" s="2"/>
      <c r="H57" s="40"/>
      <c r="J57" s="11">
        <v>1</v>
      </c>
      <c r="K57" s="1" t="s">
        <v>21</v>
      </c>
      <c r="L57" s="2">
        <v>2.3995000000000002</v>
      </c>
      <c r="M57" s="2"/>
      <c r="N57" s="37"/>
      <c r="O57" s="2"/>
      <c r="P57" s="40"/>
      <c r="R57" s="11">
        <v>1</v>
      </c>
      <c r="S57" s="1" t="s">
        <v>22</v>
      </c>
      <c r="T57" s="2">
        <v>9.4799999999999995E-2</v>
      </c>
      <c r="U57" s="2"/>
      <c r="V57" s="37"/>
      <c r="W57" s="2"/>
      <c r="X57" s="40"/>
    </row>
    <row r="58" spans="2:24" x14ac:dyDescent="0.35">
      <c r="B58" s="13">
        <v>1</v>
      </c>
      <c r="C58" s="14" t="s">
        <v>20</v>
      </c>
      <c r="D58" s="26">
        <v>65.607200000000006</v>
      </c>
      <c r="E58" s="26">
        <f>AVERAGE(D49:D58)</f>
        <v>65.397680000000008</v>
      </c>
      <c r="F58" s="36">
        <f>STDEV(D49:D58)</f>
        <v>5.6382727417771008</v>
      </c>
      <c r="G58" s="26">
        <f>((E58-80)/80)*100</f>
        <v>-18.25289999999999</v>
      </c>
      <c r="H58" s="41">
        <f>(F58/E58)*100</f>
        <v>8.6215179831717261</v>
      </c>
      <c r="J58" s="13">
        <v>1</v>
      </c>
      <c r="K58" s="14" t="s">
        <v>21</v>
      </c>
      <c r="L58" s="26">
        <v>1.9793000000000001</v>
      </c>
      <c r="M58" s="26">
        <f>AVERAGE(L49:L58)</f>
        <v>2.5308799999999998</v>
      </c>
      <c r="N58" s="36">
        <f>STDEV(L49:L58)</f>
        <v>0.46199153864305798</v>
      </c>
      <c r="O58" s="26">
        <f>((M58-3.2)/3.2)*100</f>
        <v>-20.910000000000011</v>
      </c>
      <c r="P58" s="41">
        <f>(N58/M58)*100</f>
        <v>18.254185842199472</v>
      </c>
      <c r="R58" s="13">
        <v>1</v>
      </c>
      <c r="S58" s="14" t="s">
        <v>22</v>
      </c>
      <c r="T58" s="26">
        <v>8.9899999999999994E-2</v>
      </c>
      <c r="U58" s="26">
        <f>AVERAGE(T49:T58)</f>
        <v>9.1679999999999998E-2</v>
      </c>
      <c r="V58" s="36">
        <f>STDEV(T49:T58)</f>
        <v>1.1430252257350603E-2</v>
      </c>
      <c r="W58" s="26">
        <f>((U58-0.1)/0.1)*100</f>
        <v>-8.3200000000000074</v>
      </c>
      <c r="X58" s="41">
        <f>(V58/U58)*100</f>
        <v>12.467552636726225</v>
      </c>
    </row>
    <row r="59" spans="2:24" x14ac:dyDescent="0.35">
      <c r="B59" s="6">
        <v>2</v>
      </c>
      <c r="C59" s="7" t="s">
        <v>20</v>
      </c>
      <c r="D59" s="28">
        <v>88.662899999999993</v>
      </c>
      <c r="E59" s="28"/>
      <c r="F59" s="38"/>
      <c r="G59" s="28"/>
      <c r="H59" s="39"/>
      <c r="J59" s="6">
        <v>2</v>
      </c>
      <c r="K59" s="7" t="s">
        <v>21</v>
      </c>
      <c r="L59" s="28">
        <v>2.6640000000000001</v>
      </c>
      <c r="M59" s="28"/>
      <c r="N59" s="38"/>
      <c r="O59" s="28"/>
      <c r="P59" s="39"/>
      <c r="R59" s="6">
        <v>2</v>
      </c>
      <c r="S59" s="7" t="s">
        <v>22</v>
      </c>
      <c r="T59" s="28">
        <v>8.8599999999999998E-2</v>
      </c>
      <c r="U59" s="28"/>
      <c r="V59" s="38"/>
      <c r="W59" s="28"/>
      <c r="X59" s="39"/>
    </row>
    <row r="60" spans="2:24" x14ac:dyDescent="0.35">
      <c r="B60" s="11">
        <v>2</v>
      </c>
      <c r="C60" s="1" t="s">
        <v>20</v>
      </c>
      <c r="D60" s="2">
        <v>65.331299999999999</v>
      </c>
      <c r="E60" s="2"/>
      <c r="F60" s="37"/>
      <c r="G60" s="2"/>
      <c r="H60" s="40"/>
      <c r="J60" s="11">
        <v>2</v>
      </c>
      <c r="K60" s="1" t="s">
        <v>21</v>
      </c>
      <c r="L60" s="2">
        <v>2.0617000000000001</v>
      </c>
      <c r="M60" s="2"/>
      <c r="N60" s="37"/>
      <c r="O60" s="2"/>
      <c r="P60" s="40"/>
      <c r="R60" s="11">
        <v>2</v>
      </c>
      <c r="S60" s="1" t="s">
        <v>22</v>
      </c>
      <c r="T60" s="2">
        <v>0.1008</v>
      </c>
      <c r="U60" s="2"/>
      <c r="V60" s="37"/>
      <c r="W60" s="2"/>
      <c r="X60" s="40"/>
    </row>
    <row r="61" spans="2:24" x14ac:dyDescent="0.35">
      <c r="B61" s="11">
        <v>2</v>
      </c>
      <c r="C61" s="1" t="s">
        <v>20</v>
      </c>
      <c r="D61" s="2">
        <v>68.757800000000003</v>
      </c>
      <c r="E61" s="2"/>
      <c r="F61" s="37"/>
      <c r="G61" s="2"/>
      <c r="H61" s="40"/>
      <c r="J61" s="11">
        <v>2</v>
      </c>
      <c r="K61" s="1" t="s">
        <v>21</v>
      </c>
      <c r="L61" s="2">
        <v>2.9927000000000001</v>
      </c>
      <c r="M61" s="2"/>
      <c r="N61" s="37"/>
      <c r="O61" s="2"/>
      <c r="P61" s="40"/>
      <c r="R61" s="11">
        <v>2</v>
      </c>
      <c r="S61" s="1" t="s">
        <v>22</v>
      </c>
      <c r="T61" s="2">
        <v>8.5599999999999996E-2</v>
      </c>
      <c r="U61" s="2"/>
      <c r="V61" s="37"/>
      <c r="W61" s="2"/>
      <c r="X61" s="40"/>
    </row>
    <row r="62" spans="2:24" x14ac:dyDescent="0.35">
      <c r="B62" s="11">
        <v>2</v>
      </c>
      <c r="C62" s="1" t="s">
        <v>20</v>
      </c>
      <c r="D62" s="2">
        <v>63.897199999999998</v>
      </c>
      <c r="E62" s="2"/>
      <c r="F62" s="37"/>
      <c r="G62" s="2"/>
      <c r="H62" s="40"/>
      <c r="J62" s="11">
        <v>2</v>
      </c>
      <c r="K62" s="1" t="s">
        <v>21</v>
      </c>
      <c r="L62" s="2">
        <v>3.0867</v>
      </c>
      <c r="M62" s="2"/>
      <c r="N62" s="37"/>
      <c r="O62" s="2"/>
      <c r="P62" s="40"/>
      <c r="R62" s="11">
        <v>2</v>
      </c>
      <c r="S62" s="1" t="s">
        <v>22</v>
      </c>
      <c r="T62" s="2">
        <v>0.1147</v>
      </c>
      <c r="U62" s="2"/>
      <c r="V62" s="37"/>
      <c r="W62" s="2"/>
      <c r="X62" s="40"/>
    </row>
    <row r="63" spans="2:24" x14ac:dyDescent="0.35">
      <c r="B63" s="11">
        <v>2</v>
      </c>
      <c r="C63" s="1" t="s">
        <v>20</v>
      </c>
      <c r="D63" s="2">
        <v>75.648899999999998</v>
      </c>
      <c r="E63" s="2"/>
      <c r="F63" s="37"/>
      <c r="G63" s="2"/>
      <c r="H63" s="40"/>
      <c r="J63" s="11">
        <v>2</v>
      </c>
      <c r="K63" s="1" t="s">
        <v>21</v>
      </c>
      <c r="L63" s="2">
        <v>2.5261</v>
      </c>
      <c r="M63" s="2"/>
      <c r="N63" s="37"/>
      <c r="O63" s="2"/>
      <c r="P63" s="40"/>
      <c r="R63" s="11">
        <v>2</v>
      </c>
      <c r="S63" s="1" t="s">
        <v>22</v>
      </c>
      <c r="T63" s="2">
        <v>9.5699999999999993E-2</v>
      </c>
      <c r="U63" s="2"/>
      <c r="V63" s="37"/>
      <c r="W63" s="2"/>
      <c r="X63" s="40"/>
    </row>
    <row r="64" spans="2:24" x14ac:dyDescent="0.35">
      <c r="B64" s="11">
        <v>2</v>
      </c>
      <c r="C64" s="1" t="s">
        <v>20</v>
      </c>
      <c r="D64" s="2">
        <v>61.040500000000002</v>
      </c>
      <c r="E64" s="2"/>
      <c r="F64" s="37"/>
      <c r="G64" s="2"/>
      <c r="H64" s="40"/>
      <c r="J64" s="11">
        <v>2</v>
      </c>
      <c r="K64" s="1" t="s">
        <v>21</v>
      </c>
      <c r="L64" s="2">
        <v>3.3664999999999998</v>
      </c>
      <c r="M64" s="2"/>
      <c r="N64" s="37"/>
      <c r="O64" s="2"/>
      <c r="P64" s="40"/>
      <c r="R64" s="11">
        <v>2</v>
      </c>
      <c r="S64" s="1" t="s">
        <v>22</v>
      </c>
      <c r="T64" s="2">
        <v>0.10440000000000001</v>
      </c>
      <c r="U64" s="2"/>
      <c r="V64" s="37"/>
      <c r="W64" s="2"/>
      <c r="X64" s="40"/>
    </row>
    <row r="65" spans="2:24" x14ac:dyDescent="0.35">
      <c r="B65" s="11">
        <v>2</v>
      </c>
      <c r="C65" s="1" t="s">
        <v>20</v>
      </c>
      <c r="D65" s="2">
        <v>85.903800000000004</v>
      </c>
      <c r="E65" s="2"/>
      <c r="F65" s="37"/>
      <c r="G65" s="2"/>
      <c r="H65" s="40"/>
      <c r="J65" s="11">
        <v>2</v>
      </c>
      <c r="K65" s="1" t="s">
        <v>21</v>
      </c>
      <c r="L65" s="2">
        <v>3.2574000000000001</v>
      </c>
      <c r="M65" s="2"/>
      <c r="N65" s="37"/>
      <c r="O65" s="2"/>
      <c r="P65" s="40"/>
      <c r="R65" s="11">
        <v>2</v>
      </c>
      <c r="S65" s="1" t="s">
        <v>22</v>
      </c>
      <c r="T65" s="2">
        <v>6.8400000000000002E-2</v>
      </c>
      <c r="U65" s="2"/>
      <c r="V65" s="37"/>
      <c r="W65" s="2"/>
      <c r="X65" s="40"/>
    </row>
    <row r="66" spans="2:24" x14ac:dyDescent="0.35">
      <c r="B66" s="11">
        <v>2</v>
      </c>
      <c r="C66" s="1" t="s">
        <v>20</v>
      </c>
      <c r="D66" s="2">
        <v>64.069299999999998</v>
      </c>
      <c r="E66" s="2"/>
      <c r="F66" s="37"/>
      <c r="G66" s="2"/>
      <c r="H66" s="40"/>
      <c r="J66" s="11">
        <v>2</v>
      </c>
      <c r="K66" s="1" t="s">
        <v>21</v>
      </c>
      <c r="L66" s="2">
        <v>3.2706</v>
      </c>
      <c r="M66" s="2"/>
      <c r="N66" s="37"/>
      <c r="O66" s="2"/>
      <c r="P66" s="40"/>
      <c r="R66" s="11">
        <v>2</v>
      </c>
      <c r="S66" s="1" t="s">
        <v>22</v>
      </c>
      <c r="T66" s="2">
        <v>8.2400000000000001E-2</v>
      </c>
      <c r="U66" s="2"/>
      <c r="V66" s="37"/>
      <c r="W66" s="2"/>
      <c r="X66" s="40"/>
    </row>
    <row r="67" spans="2:24" x14ac:dyDescent="0.35">
      <c r="B67" s="11">
        <v>2</v>
      </c>
      <c r="C67" s="1" t="s">
        <v>20</v>
      </c>
      <c r="D67" s="2">
        <v>71.6858</v>
      </c>
      <c r="E67" s="2"/>
      <c r="F67" s="37"/>
      <c r="G67" s="2"/>
      <c r="H67" s="40"/>
      <c r="J67" s="11">
        <v>2</v>
      </c>
      <c r="K67" s="1" t="s">
        <v>21</v>
      </c>
      <c r="L67" s="2">
        <v>2.6478999999999999</v>
      </c>
      <c r="M67" s="2"/>
      <c r="N67" s="37"/>
      <c r="O67" s="2"/>
      <c r="P67" s="40"/>
      <c r="R67" s="11">
        <v>2</v>
      </c>
      <c r="S67" s="1" t="s">
        <v>22</v>
      </c>
      <c r="T67" s="2">
        <v>8.5099999999999995E-2</v>
      </c>
      <c r="U67" s="2"/>
      <c r="V67" s="37"/>
      <c r="W67" s="2"/>
      <c r="X67" s="40"/>
    </row>
    <row r="68" spans="2:24" x14ac:dyDescent="0.35">
      <c r="B68" s="13">
        <v>2</v>
      </c>
      <c r="C68" s="14" t="s">
        <v>20</v>
      </c>
      <c r="D68" s="26">
        <v>71.157399999999996</v>
      </c>
      <c r="E68" s="26">
        <f>AVERAGE(D59:D68)</f>
        <v>71.615489999999994</v>
      </c>
      <c r="F68" s="36">
        <f>STDEV(D59:D68)</f>
        <v>9.3527061453357554</v>
      </c>
      <c r="G68" s="26">
        <f>((E68-80)/80)*100</f>
        <v>-10.480637500000007</v>
      </c>
      <c r="H68" s="41">
        <f>(F68/E68)*100</f>
        <v>13.059613423486674</v>
      </c>
      <c r="J68" s="13">
        <v>2</v>
      </c>
      <c r="K68" s="14" t="s">
        <v>21</v>
      </c>
      <c r="L68" s="26">
        <v>2.5158999999999998</v>
      </c>
      <c r="M68" s="26">
        <f>AVERAGE(L59:L68)</f>
        <v>2.8389499999999996</v>
      </c>
      <c r="N68" s="36">
        <f>STDEV(L59:L68)</f>
        <v>0.42140134538097174</v>
      </c>
      <c r="O68" s="26">
        <f>((M68-3.2)/3.2)*100</f>
        <v>-11.282812500000016</v>
      </c>
      <c r="P68" s="41">
        <f>(N68/M68)*100</f>
        <v>14.843563478785176</v>
      </c>
      <c r="R68" s="13">
        <v>2</v>
      </c>
      <c r="S68" s="14" t="s">
        <v>22</v>
      </c>
      <c r="T68" s="26">
        <v>8.8800000000000004E-2</v>
      </c>
      <c r="U68" s="26">
        <f>AVERAGE(T59:T68)</f>
        <v>9.1450000000000004E-2</v>
      </c>
      <c r="V68" s="36">
        <f>STDEV(T59:T68)</f>
        <v>1.2981375547726472E-2</v>
      </c>
      <c r="W68" s="26">
        <f>((U68-0.1)/0.1)*100</f>
        <v>-8.5500000000000025</v>
      </c>
      <c r="X68" s="41">
        <f>(V68/U68)*100</f>
        <v>14.19505253988679</v>
      </c>
    </row>
    <row r="69" spans="2:24" x14ac:dyDescent="0.35">
      <c r="B69" s="6">
        <v>3</v>
      </c>
      <c r="C69" s="7" t="s">
        <v>20</v>
      </c>
      <c r="D69" s="28">
        <v>69.839699999999993</v>
      </c>
      <c r="E69" s="28"/>
      <c r="F69" s="38"/>
      <c r="G69" s="28"/>
      <c r="H69" s="39"/>
      <c r="J69" s="6">
        <v>3</v>
      </c>
      <c r="K69" s="7" t="s">
        <v>21</v>
      </c>
      <c r="L69" s="28">
        <v>2.5011000000000001</v>
      </c>
      <c r="M69" s="28"/>
      <c r="N69" s="38"/>
      <c r="O69" s="28"/>
      <c r="P69" s="39"/>
      <c r="R69" s="6">
        <v>3</v>
      </c>
      <c r="S69" s="7" t="s">
        <v>22</v>
      </c>
      <c r="T69" s="28">
        <v>7.8E-2</v>
      </c>
      <c r="U69" s="28"/>
      <c r="V69" s="38"/>
      <c r="W69" s="28"/>
      <c r="X69" s="39"/>
    </row>
    <row r="70" spans="2:24" x14ac:dyDescent="0.35">
      <c r="B70" s="11">
        <v>3</v>
      </c>
      <c r="C70" s="1" t="s">
        <v>20</v>
      </c>
      <c r="D70" s="2">
        <v>64.789100000000005</v>
      </c>
      <c r="E70" s="2"/>
      <c r="F70" s="37"/>
      <c r="G70" s="2"/>
      <c r="H70" s="40"/>
      <c r="J70" s="11">
        <v>3</v>
      </c>
      <c r="K70" s="1" t="s">
        <v>21</v>
      </c>
      <c r="L70" s="2">
        <v>2.4270999999999998</v>
      </c>
      <c r="M70" s="2"/>
      <c r="N70" s="37"/>
      <c r="O70" s="2"/>
      <c r="P70" s="40"/>
      <c r="R70" s="11">
        <v>3</v>
      </c>
      <c r="S70" s="1" t="s">
        <v>22</v>
      </c>
      <c r="T70" s="2">
        <v>7.9600000000000004E-2</v>
      </c>
      <c r="U70" s="2"/>
      <c r="V70" s="37"/>
      <c r="W70" s="2"/>
      <c r="X70" s="40"/>
    </row>
    <row r="71" spans="2:24" x14ac:dyDescent="0.35">
      <c r="B71" s="11">
        <v>3</v>
      </c>
      <c r="C71" s="1" t="s">
        <v>20</v>
      </c>
      <c r="D71" s="2">
        <v>65.634600000000006</v>
      </c>
      <c r="E71" s="2"/>
      <c r="F71" s="37"/>
      <c r="G71" s="2"/>
      <c r="H71" s="40"/>
      <c r="J71" s="11">
        <v>3</v>
      </c>
      <c r="K71" s="1" t="s">
        <v>21</v>
      </c>
      <c r="L71" s="2">
        <v>2.6092</v>
      </c>
      <c r="M71" s="2"/>
      <c r="N71" s="37"/>
      <c r="O71" s="2"/>
      <c r="P71" s="40"/>
      <c r="R71" s="11">
        <v>3</v>
      </c>
      <c r="S71" s="1" t="s">
        <v>22</v>
      </c>
      <c r="T71" s="2">
        <v>7.5600000000000001E-2</v>
      </c>
      <c r="U71" s="2"/>
      <c r="V71" s="37"/>
      <c r="W71" s="2"/>
      <c r="X71" s="40"/>
    </row>
    <row r="72" spans="2:24" x14ac:dyDescent="0.35">
      <c r="B72" s="11">
        <v>3</v>
      </c>
      <c r="C72" s="1" t="s">
        <v>20</v>
      </c>
      <c r="D72" s="2">
        <v>63.519599999999997</v>
      </c>
      <c r="E72" s="2"/>
      <c r="F72" s="37"/>
      <c r="G72" s="2"/>
      <c r="H72" s="40"/>
      <c r="J72" s="11">
        <v>3</v>
      </c>
      <c r="K72" s="1" t="s">
        <v>21</v>
      </c>
      <c r="L72" s="2">
        <v>2.5268000000000002</v>
      </c>
      <c r="M72" s="2"/>
      <c r="N72" s="37"/>
      <c r="O72" s="2"/>
      <c r="P72" s="40"/>
      <c r="R72" s="11">
        <v>3</v>
      </c>
      <c r="S72" s="1" t="s">
        <v>22</v>
      </c>
      <c r="T72" s="2">
        <v>8.0600000000000005E-2</v>
      </c>
      <c r="U72" s="2"/>
      <c r="V72" s="37"/>
      <c r="W72" s="2"/>
      <c r="X72" s="40"/>
    </row>
    <row r="73" spans="2:24" x14ac:dyDescent="0.35">
      <c r="B73" s="11">
        <v>3</v>
      </c>
      <c r="C73" s="1" t="s">
        <v>20</v>
      </c>
      <c r="D73" s="2">
        <v>67.221100000000007</v>
      </c>
      <c r="E73" s="2"/>
      <c r="F73" s="37"/>
      <c r="G73" s="2"/>
      <c r="H73" s="40"/>
      <c r="J73" s="11">
        <v>3</v>
      </c>
      <c r="K73" s="1" t="s">
        <v>21</v>
      </c>
      <c r="L73" s="2">
        <v>2.5182000000000002</v>
      </c>
      <c r="M73" s="2"/>
      <c r="N73" s="37"/>
      <c r="O73" s="2"/>
      <c r="P73" s="40"/>
      <c r="R73" s="11">
        <v>3</v>
      </c>
      <c r="S73" s="1" t="s">
        <v>22</v>
      </c>
      <c r="T73" s="2">
        <v>8.9099999999999999E-2</v>
      </c>
      <c r="U73" s="2"/>
      <c r="V73" s="37"/>
      <c r="W73" s="2"/>
      <c r="X73" s="40"/>
    </row>
    <row r="74" spans="2:24" x14ac:dyDescent="0.35">
      <c r="B74" s="11">
        <v>3</v>
      </c>
      <c r="C74" s="1" t="s">
        <v>20</v>
      </c>
      <c r="D74" s="2">
        <v>64.085599999999999</v>
      </c>
      <c r="E74" s="2"/>
      <c r="F74" s="37"/>
      <c r="G74" s="2"/>
      <c r="H74" s="40"/>
      <c r="J74" s="11">
        <v>3</v>
      </c>
      <c r="K74" s="1" t="s">
        <v>21</v>
      </c>
      <c r="L74" s="2">
        <v>2.5844</v>
      </c>
      <c r="M74" s="2"/>
      <c r="N74" s="37"/>
      <c r="O74" s="2"/>
      <c r="P74" s="40"/>
      <c r="R74" s="11">
        <v>3</v>
      </c>
      <c r="S74" s="1" t="s">
        <v>22</v>
      </c>
      <c r="T74" s="2">
        <v>9.5000000000000001E-2</v>
      </c>
      <c r="U74" s="2"/>
      <c r="V74" s="37"/>
      <c r="W74" s="2"/>
      <c r="X74" s="40"/>
    </row>
    <row r="75" spans="2:24" x14ac:dyDescent="0.35">
      <c r="B75" s="11">
        <v>3</v>
      </c>
      <c r="C75" s="1" t="s">
        <v>20</v>
      </c>
      <c r="D75" s="2">
        <v>69.081299999999999</v>
      </c>
      <c r="E75" s="2"/>
      <c r="F75" s="37"/>
      <c r="G75" s="2"/>
      <c r="H75" s="40"/>
      <c r="J75" s="11">
        <v>3</v>
      </c>
      <c r="K75" s="1" t="s">
        <v>21</v>
      </c>
      <c r="L75" s="2">
        <v>2.3170999999999999</v>
      </c>
      <c r="M75" s="2"/>
      <c r="N75" s="37"/>
      <c r="O75" s="2"/>
      <c r="P75" s="40"/>
      <c r="R75" s="11">
        <v>3</v>
      </c>
      <c r="S75" s="1" t="s">
        <v>22</v>
      </c>
      <c r="T75" s="2">
        <v>8.3599999999999994E-2</v>
      </c>
      <c r="U75" s="2"/>
      <c r="V75" s="37"/>
      <c r="W75" s="2"/>
      <c r="X75" s="40"/>
    </row>
    <row r="76" spans="2:24" x14ac:dyDescent="0.35">
      <c r="B76" s="11">
        <v>3</v>
      </c>
      <c r="C76" s="1" t="s">
        <v>20</v>
      </c>
      <c r="D76" s="2">
        <v>65.455699999999993</v>
      </c>
      <c r="E76" s="2"/>
      <c r="F76" s="37"/>
      <c r="G76" s="2"/>
      <c r="H76" s="40"/>
      <c r="J76" s="11">
        <v>3</v>
      </c>
      <c r="K76" s="1" t="s">
        <v>21</v>
      </c>
      <c r="L76" s="2">
        <v>2.4538000000000002</v>
      </c>
      <c r="M76" s="2"/>
      <c r="N76" s="37"/>
      <c r="O76" s="2"/>
      <c r="P76" s="40"/>
      <c r="R76" s="11">
        <v>3</v>
      </c>
      <c r="S76" s="1" t="s">
        <v>22</v>
      </c>
      <c r="T76" s="2">
        <v>8.6599999999999996E-2</v>
      </c>
      <c r="U76" s="2"/>
      <c r="V76" s="37"/>
      <c r="W76" s="2"/>
      <c r="X76" s="40"/>
    </row>
    <row r="77" spans="2:24" x14ac:dyDescent="0.35">
      <c r="B77" s="11">
        <v>3</v>
      </c>
      <c r="C77" s="1" t="s">
        <v>20</v>
      </c>
      <c r="D77" s="2">
        <v>63.8673</v>
      </c>
      <c r="E77" s="2"/>
      <c r="F77" s="37"/>
      <c r="G77" s="2"/>
      <c r="H77" s="40"/>
      <c r="J77" s="11">
        <v>3</v>
      </c>
      <c r="K77" s="1" t="s">
        <v>21</v>
      </c>
      <c r="L77" s="2">
        <v>2.6979000000000002</v>
      </c>
      <c r="M77" s="2"/>
      <c r="N77" s="37"/>
      <c r="O77" s="2"/>
      <c r="P77" s="40"/>
      <c r="R77" s="11">
        <v>3</v>
      </c>
      <c r="S77" s="1" t="s">
        <v>22</v>
      </c>
      <c r="T77" s="2">
        <v>0.114</v>
      </c>
      <c r="U77" s="2"/>
      <c r="V77" s="37"/>
      <c r="W77" s="2"/>
      <c r="X77" s="40"/>
    </row>
    <row r="78" spans="2:24" x14ac:dyDescent="0.35">
      <c r="B78" s="13">
        <v>3</v>
      </c>
      <c r="C78" s="14" t="s">
        <v>20</v>
      </c>
      <c r="D78" s="26">
        <v>62.147500000000001</v>
      </c>
      <c r="E78" s="26">
        <f>AVERAGE(D69:D78)</f>
        <v>65.564150000000012</v>
      </c>
      <c r="F78" s="36">
        <f>STDEV(D69:D78)</f>
        <v>2.470552666127785</v>
      </c>
      <c r="G78" s="26">
        <f>((E78-80)/80)*100</f>
        <v>-18.044812499999985</v>
      </c>
      <c r="H78" s="41">
        <f>(F78/E78)*100</f>
        <v>3.7681456499135346</v>
      </c>
      <c r="J78" s="13">
        <v>3</v>
      </c>
      <c r="K78" s="14" t="s">
        <v>21</v>
      </c>
      <c r="L78" s="26">
        <v>2.2949999999999999</v>
      </c>
      <c r="M78" s="26">
        <f>AVERAGE(L69:L78)</f>
        <v>2.4930599999999998</v>
      </c>
      <c r="N78" s="36">
        <f>STDEV(L69:L78)</f>
        <v>0.12548028796056648</v>
      </c>
      <c r="O78" s="26">
        <f>((M78-3.2)/3.2)*100</f>
        <v>-22.091875000000012</v>
      </c>
      <c r="P78" s="41">
        <f>(N78/M78)*100</f>
        <v>5.0331836361967417</v>
      </c>
      <c r="R78" s="13">
        <v>3</v>
      </c>
      <c r="S78" s="14" t="s">
        <v>22</v>
      </c>
      <c r="T78" s="26">
        <v>7.4800000000000005E-2</v>
      </c>
      <c r="U78" s="26">
        <f>AVERAGE(T69:T78)</f>
        <v>8.5690000000000002E-2</v>
      </c>
      <c r="V78" s="36">
        <f>STDEV(T69:T78)</f>
        <v>1.177327010175541E-2</v>
      </c>
      <c r="W78" s="26">
        <f>((U78-0.1)/0.1)*100</f>
        <v>-14.310000000000004</v>
      </c>
      <c r="X78" s="41">
        <f>(V78/U78)*100</f>
        <v>13.739374608186964</v>
      </c>
    </row>
    <row r="79" spans="2:24" x14ac:dyDescent="0.35">
      <c r="B79" s="24" t="s">
        <v>11</v>
      </c>
      <c r="E79" s="2"/>
      <c r="F79" s="2"/>
      <c r="G79" s="2">
        <f>AVERAGE(G58,G68,G78)</f>
        <v>-15.592783333333328</v>
      </c>
      <c r="H79" s="2">
        <f>AVERAGE(H78,H68,H58)</f>
        <v>8.4830923521906456</v>
      </c>
      <c r="J79" s="24" t="s">
        <v>11</v>
      </c>
      <c r="M79" s="2"/>
      <c r="N79" s="2"/>
      <c r="O79" s="2">
        <f>AVERAGE(O58,O68,O78)</f>
        <v>-18.09489583333335</v>
      </c>
      <c r="P79" s="2">
        <f>AVERAGE(P78,P68,P58)</f>
        <v>12.710310985727128</v>
      </c>
      <c r="R79" s="24" t="s">
        <v>11</v>
      </c>
      <c r="U79" s="2"/>
      <c r="V79" s="2"/>
      <c r="W79" s="2">
        <f>AVERAGE(W58,W68,W78)</f>
        <v>-10.393333333333338</v>
      </c>
      <c r="X79" s="2">
        <f>AVERAGE(X78,X68,X58)</f>
        <v>13.467326594933326</v>
      </c>
    </row>
    <row r="80" spans="2:24" x14ac:dyDescent="0.35">
      <c r="B80" t="s">
        <v>12</v>
      </c>
      <c r="E80" s="2">
        <f>AVERAGE(E78,E68,E58)</f>
        <v>67.525773333333333</v>
      </c>
      <c r="F80" s="2">
        <f>STDEV(E58,E68,E78)</f>
        <v>3.5427764359938472</v>
      </c>
      <c r="G80" s="2">
        <f>((E80-80)/80)*100</f>
        <v>-15.592783333333331</v>
      </c>
      <c r="H80" s="2">
        <f>(F80/E80)*100</f>
        <v>5.2465544059826348</v>
      </c>
      <c r="J80" t="s">
        <v>12</v>
      </c>
      <c r="M80" s="2">
        <f>AVERAGE(M78,M68,M58)</f>
        <v>2.6209633333333331</v>
      </c>
      <c r="N80" s="2">
        <f>STDEV(M58,M68,M78)</f>
        <v>0.18972671987185485</v>
      </c>
      <c r="O80" s="2">
        <f>((M80-3.2)/3.2)*100</f>
        <v>-18.094895833333347</v>
      </c>
      <c r="P80" s="2">
        <f>(N80/M80)*100</f>
        <v>7.2388162573247827</v>
      </c>
      <c r="R80" t="s">
        <v>12</v>
      </c>
      <c r="U80" s="2">
        <f>AVERAGE(U78,U68,U58)</f>
        <v>8.9606666666666668E-2</v>
      </c>
      <c r="V80" s="2">
        <f>STDEV(U58,U68,U78)</f>
        <v>3.3938817500516021E-3</v>
      </c>
      <c r="W80" s="2">
        <f>((U80-0.1)/0.1)*100</f>
        <v>-10.393333333333338</v>
      </c>
      <c r="X80" s="2">
        <f>(V80/U80)*100</f>
        <v>3.7875326427181033</v>
      </c>
    </row>
    <row r="81" spans="2:24" x14ac:dyDescent="0.35">
      <c r="B81" t="s">
        <v>13</v>
      </c>
      <c r="E81" s="2">
        <f>AVERAGE(D49:D78)</f>
        <v>67.525773333333348</v>
      </c>
      <c r="F81" s="2">
        <f>STDEV(D49:D78)</f>
        <v>6.8965935058390677</v>
      </c>
      <c r="G81" s="2">
        <f>((E81-80)/80)*100</f>
        <v>-15.592783333333315</v>
      </c>
      <c r="H81" s="2">
        <f>(F81/E81)*100</f>
        <v>10.21327585808579</v>
      </c>
      <c r="J81" t="s">
        <v>13</v>
      </c>
      <c r="M81" s="2">
        <f>AVERAGE(L49:L78)</f>
        <v>2.620963333333334</v>
      </c>
      <c r="N81" s="2">
        <f>STDEV(L49:L78)</f>
        <v>0.38866570023636904</v>
      </c>
      <c r="O81" s="2">
        <f>((M81-3.2)/3.2)*100</f>
        <v>-18.094895833333318</v>
      </c>
      <c r="P81" s="2">
        <f>(N81/M81)*100</f>
        <v>14.82911627542935</v>
      </c>
      <c r="R81" t="s">
        <v>13</v>
      </c>
      <c r="U81" s="2">
        <f>AVERAGE(T49:T78)</f>
        <v>8.9606666666666668E-2</v>
      </c>
      <c r="V81" s="2">
        <f>STDEV(T49:T78)</f>
        <v>1.1991891896792863E-2</v>
      </c>
      <c r="W81" s="2">
        <f>((U81-0.1)/0.1)*100</f>
        <v>-10.393333333333338</v>
      </c>
      <c r="X81" s="2">
        <f>(V81/U81)*100</f>
        <v>13.382812175574211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81E6-ADC9-4047-A6F2-5BD73521374E}">
  <dimension ref="B2:AF81"/>
  <sheetViews>
    <sheetView tabSelected="1" topLeftCell="A14" zoomScale="85" zoomScaleNormal="85" workbookViewId="0">
      <selection activeCell="I45" sqref="I45"/>
    </sheetView>
  </sheetViews>
  <sheetFormatPr defaultRowHeight="14.5" x14ac:dyDescent="0.35"/>
  <cols>
    <col min="2" max="2" width="13.26953125" customWidth="1"/>
    <col min="3" max="3" width="13.1796875" customWidth="1"/>
    <col min="4" max="4" width="10.7265625" customWidth="1"/>
    <col min="5" max="5" width="11.7265625" customWidth="1"/>
    <col min="6" max="11" width="12.54296875" customWidth="1"/>
    <col min="13" max="13" width="12" customWidth="1"/>
    <col min="14" max="14" width="15.26953125" customWidth="1"/>
    <col min="15" max="15" width="13.81640625" customWidth="1"/>
    <col min="16" max="16" width="15.81640625" customWidth="1"/>
    <col min="19" max="19" width="12.81640625" customWidth="1"/>
    <col min="20" max="20" width="12.54296875" customWidth="1"/>
    <col min="21" max="21" width="13.81640625" customWidth="1"/>
    <col min="22" max="22" width="11.1796875" customWidth="1"/>
    <col min="23" max="24" width="11" customWidth="1"/>
    <col min="27" max="27" width="12.1796875" customWidth="1"/>
    <col min="28" max="28" width="10.7265625" customWidth="1"/>
    <col min="29" max="29" width="12.7265625" customWidth="1"/>
    <col min="30" max="30" width="10.54296875" customWidth="1"/>
  </cols>
  <sheetData>
    <row r="2" spans="2:32" x14ac:dyDescent="0.35">
      <c r="B2" s="42" t="s">
        <v>14</v>
      </c>
    </row>
    <row r="3" spans="2:32" x14ac:dyDescent="0.35">
      <c r="B3" s="22"/>
      <c r="C3" s="17"/>
      <c r="D3" s="17"/>
      <c r="E3" s="17"/>
      <c r="F3" s="6" t="s">
        <v>10</v>
      </c>
      <c r="G3" s="17"/>
      <c r="H3" s="18"/>
      <c r="I3" s="1"/>
      <c r="J3" s="22"/>
      <c r="K3" s="17"/>
      <c r="L3" s="17"/>
      <c r="M3" s="17"/>
      <c r="N3" s="22" t="s">
        <v>10</v>
      </c>
      <c r="O3" s="17"/>
      <c r="P3" s="18"/>
      <c r="R3" s="38"/>
      <c r="S3" s="28"/>
      <c r="T3" s="28"/>
      <c r="U3" s="28"/>
      <c r="V3" s="38" t="s">
        <v>10</v>
      </c>
      <c r="W3" s="28"/>
      <c r="X3" s="39"/>
      <c r="Z3" s="38"/>
      <c r="AA3" s="28"/>
      <c r="AB3" s="28"/>
      <c r="AC3" s="28"/>
      <c r="AD3" s="38" t="s">
        <v>10</v>
      </c>
      <c r="AE3" s="28"/>
      <c r="AF3" s="39"/>
    </row>
    <row r="4" spans="2:32" x14ac:dyDescent="0.35">
      <c r="B4" s="13" t="s">
        <v>1</v>
      </c>
      <c r="C4" s="14" t="s">
        <v>5</v>
      </c>
      <c r="D4" s="14" t="s">
        <v>7</v>
      </c>
      <c r="E4" s="14" t="s">
        <v>8</v>
      </c>
      <c r="F4" s="13" t="s">
        <v>9</v>
      </c>
      <c r="G4" s="14" t="s">
        <v>16</v>
      </c>
      <c r="H4" s="23" t="s">
        <v>17</v>
      </c>
      <c r="I4" s="1"/>
      <c r="J4" s="11" t="s">
        <v>1</v>
      </c>
      <c r="K4" s="1" t="s">
        <v>5</v>
      </c>
      <c r="L4" t="s">
        <v>7</v>
      </c>
      <c r="M4" t="s">
        <v>8</v>
      </c>
      <c r="N4" s="35" t="s">
        <v>9</v>
      </c>
      <c r="O4" s="14" t="s">
        <v>16</v>
      </c>
      <c r="P4" s="23" t="s">
        <v>17</v>
      </c>
      <c r="R4" s="37" t="s">
        <v>1</v>
      </c>
      <c r="S4" s="2" t="s">
        <v>5</v>
      </c>
      <c r="T4" s="2" t="s">
        <v>7</v>
      </c>
      <c r="U4" s="2" t="s">
        <v>8</v>
      </c>
      <c r="V4" s="37" t="s">
        <v>9</v>
      </c>
      <c r="W4" s="2" t="s">
        <v>16</v>
      </c>
      <c r="X4" s="40" t="s">
        <v>17</v>
      </c>
      <c r="Z4" s="37" t="s">
        <v>1</v>
      </c>
      <c r="AA4" s="2" t="s">
        <v>5</v>
      </c>
      <c r="AB4" s="2" t="s">
        <v>7</v>
      </c>
      <c r="AC4" s="2" t="s">
        <v>8</v>
      </c>
      <c r="AD4" s="37" t="s">
        <v>9</v>
      </c>
      <c r="AE4" s="2" t="s">
        <v>16</v>
      </c>
      <c r="AF4" s="40" t="s">
        <v>17</v>
      </c>
    </row>
    <row r="5" spans="2:32" x14ac:dyDescent="0.35">
      <c r="B5" s="6">
        <v>1</v>
      </c>
      <c r="C5" s="7" t="s">
        <v>0</v>
      </c>
      <c r="D5" s="8">
        <v>82.978899999999996</v>
      </c>
      <c r="E5" s="8"/>
      <c r="F5" s="19"/>
      <c r="G5" s="8"/>
      <c r="H5" s="10"/>
      <c r="I5" s="5"/>
      <c r="J5" s="6">
        <v>1</v>
      </c>
      <c r="K5" s="9" t="s">
        <v>15</v>
      </c>
      <c r="L5" s="28">
        <v>19.523499999999999</v>
      </c>
      <c r="M5" s="28"/>
      <c r="N5" s="38"/>
      <c r="O5" s="28"/>
      <c r="P5" s="39"/>
      <c r="R5" s="6">
        <v>1</v>
      </c>
      <c r="S5" s="28" t="s">
        <v>18</v>
      </c>
      <c r="T5" s="28">
        <v>5.5917000000000003</v>
      </c>
      <c r="U5" s="28"/>
      <c r="V5" s="38"/>
      <c r="W5" s="28"/>
      <c r="X5" s="39"/>
      <c r="Z5" s="6">
        <v>1</v>
      </c>
      <c r="AA5" s="7" t="s">
        <v>19</v>
      </c>
      <c r="AB5" s="28">
        <v>1.9202999999999999</v>
      </c>
      <c r="AC5" s="28"/>
      <c r="AD5" s="38"/>
      <c r="AE5" s="28"/>
      <c r="AF5" s="39"/>
    </row>
    <row r="6" spans="2:32" x14ac:dyDescent="0.35">
      <c r="B6" s="11">
        <v>1</v>
      </c>
      <c r="C6" s="1" t="s">
        <v>0</v>
      </c>
      <c r="D6" s="4">
        <v>89.046099999999996</v>
      </c>
      <c r="E6" s="4"/>
      <c r="F6" s="20"/>
      <c r="G6" s="4"/>
      <c r="H6" s="12"/>
      <c r="I6" s="5"/>
      <c r="J6" s="11">
        <v>1</v>
      </c>
      <c r="K6" s="5" t="s">
        <v>15</v>
      </c>
      <c r="L6" s="2">
        <v>21.430099999999999</v>
      </c>
      <c r="M6" s="2"/>
      <c r="N6" s="37"/>
      <c r="O6" s="2"/>
      <c r="P6" s="40"/>
      <c r="R6" s="11">
        <v>1</v>
      </c>
      <c r="S6" s="2" t="s">
        <v>18</v>
      </c>
      <c r="T6" s="2">
        <v>7.0681000000000003</v>
      </c>
      <c r="U6" s="2"/>
      <c r="V6" s="37"/>
      <c r="W6" s="2"/>
      <c r="X6" s="40"/>
      <c r="Z6" s="11">
        <v>1</v>
      </c>
      <c r="AA6" s="1" t="s">
        <v>19</v>
      </c>
      <c r="AB6" s="2">
        <v>1.4923999999999999</v>
      </c>
      <c r="AC6" s="2"/>
      <c r="AD6" s="37"/>
      <c r="AE6" s="2"/>
      <c r="AF6" s="40"/>
    </row>
    <row r="7" spans="2:32" x14ac:dyDescent="0.35">
      <c r="B7" s="11">
        <v>1</v>
      </c>
      <c r="C7" s="1" t="s">
        <v>0</v>
      </c>
      <c r="D7" s="4">
        <v>79.201800000000006</v>
      </c>
      <c r="E7" s="4"/>
      <c r="F7" s="20"/>
      <c r="G7" s="4"/>
      <c r="H7" s="12"/>
      <c r="I7" s="5"/>
      <c r="J7" s="11">
        <v>1</v>
      </c>
      <c r="K7" s="5" t="s">
        <v>15</v>
      </c>
      <c r="L7" s="2">
        <v>19.403500000000001</v>
      </c>
      <c r="M7" s="2"/>
      <c r="N7" s="37"/>
      <c r="O7" s="2"/>
      <c r="P7" s="40"/>
      <c r="R7" s="11">
        <v>1</v>
      </c>
      <c r="S7" s="2" t="s">
        <v>18</v>
      </c>
      <c r="T7" s="2">
        <v>5.4966999999999997</v>
      </c>
      <c r="U7" s="2"/>
      <c r="V7" s="37"/>
      <c r="W7" s="2"/>
      <c r="X7" s="40"/>
      <c r="Z7" s="11">
        <v>1</v>
      </c>
      <c r="AA7" s="1" t="s">
        <v>19</v>
      </c>
      <c r="AB7" s="2">
        <v>1.9256</v>
      </c>
      <c r="AC7" s="2"/>
      <c r="AD7" s="37"/>
      <c r="AE7" s="2"/>
      <c r="AF7" s="40"/>
    </row>
    <row r="8" spans="2:32" x14ac:dyDescent="0.35">
      <c r="B8" s="11">
        <v>1</v>
      </c>
      <c r="C8" s="1" t="s">
        <v>0</v>
      </c>
      <c r="D8" s="4">
        <v>84.760199999999998</v>
      </c>
      <c r="E8" s="4"/>
      <c r="F8" s="20"/>
      <c r="G8" s="4"/>
      <c r="H8" s="12"/>
      <c r="I8" s="5"/>
      <c r="J8" s="11">
        <v>1</v>
      </c>
      <c r="K8" s="5" t="s">
        <v>15</v>
      </c>
      <c r="L8" s="2">
        <v>20.426600000000001</v>
      </c>
      <c r="M8" s="2"/>
      <c r="N8" s="37"/>
      <c r="O8" s="2"/>
      <c r="P8" s="40"/>
      <c r="R8" s="11">
        <v>1</v>
      </c>
      <c r="S8" s="2" t="s">
        <v>18</v>
      </c>
      <c r="T8" s="2">
        <v>6.3342999999999998</v>
      </c>
      <c r="U8" s="2"/>
      <c r="V8" s="37"/>
      <c r="W8" s="2"/>
      <c r="X8" s="40"/>
      <c r="Z8" s="11">
        <v>1</v>
      </c>
      <c r="AA8" s="1" t="s">
        <v>19</v>
      </c>
      <c r="AB8" s="2">
        <v>1.7591000000000001</v>
      </c>
      <c r="AC8" s="2"/>
      <c r="AD8" s="37"/>
      <c r="AE8" s="2"/>
      <c r="AF8" s="40"/>
    </row>
    <row r="9" spans="2:32" x14ac:dyDescent="0.35">
      <c r="B9" s="11">
        <v>1</v>
      </c>
      <c r="C9" s="1" t="s">
        <v>0</v>
      </c>
      <c r="D9" s="4">
        <v>80.239500000000007</v>
      </c>
      <c r="E9" s="4"/>
      <c r="F9" s="20"/>
      <c r="G9" s="4"/>
      <c r="H9" s="12"/>
      <c r="I9" s="5"/>
      <c r="J9" s="11">
        <v>1</v>
      </c>
      <c r="K9" s="5" t="s">
        <v>15</v>
      </c>
      <c r="L9" s="2">
        <v>17.0702</v>
      </c>
      <c r="M9" s="2"/>
      <c r="N9" s="37"/>
      <c r="O9" s="2"/>
      <c r="P9" s="40"/>
      <c r="R9" s="11">
        <v>1</v>
      </c>
      <c r="S9" s="2" t="s">
        <v>18</v>
      </c>
      <c r="T9" s="2">
        <v>5.4966999999999997</v>
      </c>
      <c r="U9" s="2"/>
      <c r="V9" s="37"/>
      <c r="W9" s="2"/>
      <c r="X9" s="40"/>
      <c r="Z9" s="11">
        <v>1</v>
      </c>
      <c r="AA9" s="1" t="s">
        <v>19</v>
      </c>
      <c r="AB9" s="2">
        <v>1.6720999999999999</v>
      </c>
      <c r="AC9" s="2"/>
      <c r="AD9" s="37"/>
      <c r="AE9" s="2"/>
      <c r="AF9" s="40"/>
    </row>
    <row r="10" spans="2:32" x14ac:dyDescent="0.35">
      <c r="B10" s="11">
        <v>1</v>
      </c>
      <c r="C10" s="1" t="s">
        <v>0</v>
      </c>
      <c r="D10" s="4">
        <v>91.834199999999996</v>
      </c>
      <c r="E10" s="4"/>
      <c r="F10" s="20"/>
      <c r="G10" s="4"/>
      <c r="H10" s="12"/>
      <c r="I10" s="5"/>
      <c r="J10" s="11">
        <v>1</v>
      </c>
      <c r="K10" s="5" t="s">
        <v>15</v>
      </c>
      <c r="L10" s="2">
        <v>16.427700000000002</v>
      </c>
      <c r="M10" s="2"/>
      <c r="N10" s="37"/>
      <c r="O10" s="2"/>
      <c r="P10" s="40"/>
      <c r="R10" s="11">
        <v>1</v>
      </c>
      <c r="S10" s="2" t="s">
        <v>18</v>
      </c>
      <c r="T10" s="2">
        <v>5.9473000000000003</v>
      </c>
      <c r="U10" s="2"/>
      <c r="V10" s="37"/>
      <c r="W10" s="2"/>
      <c r="X10" s="40"/>
      <c r="Z10" s="11">
        <v>1</v>
      </c>
      <c r="AA10" s="1" t="s">
        <v>19</v>
      </c>
      <c r="AB10" s="2">
        <v>1.4852000000000001</v>
      </c>
      <c r="AC10" s="2"/>
      <c r="AD10" s="37"/>
      <c r="AE10" s="2"/>
      <c r="AF10" s="40"/>
    </row>
    <row r="11" spans="2:32" x14ac:dyDescent="0.35">
      <c r="B11" s="11">
        <v>1</v>
      </c>
      <c r="C11" s="1" t="s">
        <v>0</v>
      </c>
      <c r="D11" s="4">
        <v>90.027600000000007</v>
      </c>
      <c r="E11" s="4"/>
      <c r="F11" s="20"/>
      <c r="G11" s="4"/>
      <c r="H11" s="12"/>
      <c r="I11" s="5"/>
      <c r="J11" s="11">
        <v>1</v>
      </c>
      <c r="K11" s="5" t="s">
        <v>15</v>
      </c>
      <c r="L11" s="2">
        <v>16.837900000000001</v>
      </c>
      <c r="M11" s="2"/>
      <c r="N11" s="37"/>
      <c r="O11" s="2"/>
      <c r="P11" s="40"/>
      <c r="R11" s="11">
        <v>1</v>
      </c>
      <c r="S11" s="2" t="s">
        <v>18</v>
      </c>
      <c r="T11" s="2">
        <v>5.9027000000000003</v>
      </c>
      <c r="U11" s="2"/>
      <c r="V11" s="37"/>
      <c r="W11" s="2"/>
      <c r="X11" s="40"/>
      <c r="Z11" s="11">
        <v>1</v>
      </c>
      <c r="AA11" s="1" t="s">
        <v>19</v>
      </c>
      <c r="AB11" s="2">
        <v>1.9885999999999999</v>
      </c>
      <c r="AC11" s="2"/>
      <c r="AD11" s="37"/>
      <c r="AE11" s="2"/>
      <c r="AF11" s="40"/>
    </row>
    <row r="12" spans="2:32" x14ac:dyDescent="0.35">
      <c r="B12" s="11">
        <v>1</v>
      </c>
      <c r="C12" s="1" t="s">
        <v>0</v>
      </c>
      <c r="D12" s="4">
        <v>98.278999999999996</v>
      </c>
      <c r="E12" s="4"/>
      <c r="F12" s="20"/>
      <c r="G12" s="4"/>
      <c r="H12" s="12"/>
      <c r="I12" s="5"/>
      <c r="J12" s="11">
        <v>1</v>
      </c>
      <c r="K12" s="5" t="s">
        <v>15</v>
      </c>
      <c r="L12" s="2">
        <v>17.0352</v>
      </c>
      <c r="M12" s="2"/>
      <c r="N12" s="37"/>
      <c r="O12" s="2"/>
      <c r="P12" s="40"/>
      <c r="R12" s="11">
        <v>1</v>
      </c>
      <c r="S12" s="2" t="s">
        <v>18</v>
      </c>
      <c r="T12" s="2">
        <v>4.5777999999999999</v>
      </c>
      <c r="U12" s="2"/>
      <c r="V12" s="37"/>
      <c r="W12" s="2"/>
      <c r="X12" s="40"/>
      <c r="Z12" s="11">
        <v>1</v>
      </c>
      <c r="AA12" s="1" t="s">
        <v>19</v>
      </c>
      <c r="AB12" s="2">
        <v>1.3110999999999999</v>
      </c>
      <c r="AC12" s="2"/>
      <c r="AD12" s="37"/>
      <c r="AE12" s="2"/>
      <c r="AF12" s="40"/>
    </row>
    <row r="13" spans="2:32" x14ac:dyDescent="0.35">
      <c r="B13" s="11">
        <v>1</v>
      </c>
      <c r="C13" s="1" t="s">
        <v>0</v>
      </c>
      <c r="D13" s="4">
        <v>83.035799999999995</v>
      </c>
      <c r="E13" s="4"/>
      <c r="F13" s="20"/>
      <c r="G13" s="4"/>
      <c r="H13" s="12"/>
      <c r="I13" s="5"/>
      <c r="J13" s="11">
        <v>1</v>
      </c>
      <c r="K13" s="5" t="s">
        <v>15</v>
      </c>
      <c r="L13" s="2">
        <v>16.093499999999999</v>
      </c>
      <c r="M13" s="2"/>
      <c r="N13" s="37"/>
      <c r="O13" s="2"/>
      <c r="P13" s="40"/>
      <c r="R13" s="11">
        <v>1</v>
      </c>
      <c r="S13" s="2" t="s">
        <v>18</v>
      </c>
      <c r="T13" s="2">
        <v>5.4817</v>
      </c>
      <c r="U13" s="2"/>
      <c r="V13" s="37"/>
      <c r="W13" s="2"/>
      <c r="X13" s="40"/>
      <c r="Z13" s="11">
        <v>1</v>
      </c>
      <c r="AA13" s="1" t="s">
        <v>19</v>
      </c>
      <c r="AB13" s="2">
        <v>1.8837999999999999</v>
      </c>
      <c r="AC13" s="2"/>
      <c r="AD13" s="37"/>
      <c r="AE13" s="2"/>
      <c r="AF13" s="40"/>
    </row>
    <row r="14" spans="2:32" x14ac:dyDescent="0.35">
      <c r="B14" s="11">
        <v>1</v>
      </c>
      <c r="C14" s="1" t="s">
        <v>0</v>
      </c>
      <c r="D14" s="4">
        <v>80.074799999999996</v>
      </c>
      <c r="E14" s="4">
        <f>AVERAGE(D5:D14)</f>
        <v>85.947789999999998</v>
      </c>
      <c r="F14" s="20">
        <f>STDEV(D5:D14)</f>
        <v>6.1845889847174869</v>
      </c>
      <c r="G14" s="29">
        <f>((E14-$E$41)/$E$41)*100</f>
        <v>-6.245649012214697</v>
      </c>
      <c r="H14" s="30">
        <f>(F14/E14)*100</f>
        <v>7.1957510306169441</v>
      </c>
      <c r="I14" s="5"/>
      <c r="J14" s="13">
        <v>1</v>
      </c>
      <c r="K14" s="16" t="s">
        <v>15</v>
      </c>
      <c r="L14" s="26">
        <v>14.412699999999999</v>
      </c>
      <c r="M14" s="26">
        <f>AVERAGE(L5:L14)</f>
        <v>17.86609</v>
      </c>
      <c r="N14" s="36">
        <f>STDEV(L5:L14)</f>
        <v>2.2082409668481819</v>
      </c>
      <c r="O14" s="26">
        <f>((M14-$M$42)/$M$42)*100</f>
        <v>-7.3818007399413386</v>
      </c>
      <c r="P14" s="41">
        <f>(N14/M14)*100</f>
        <v>12.359956581704122</v>
      </c>
      <c r="R14" s="13">
        <v>1</v>
      </c>
      <c r="S14" s="26" t="s">
        <v>18</v>
      </c>
      <c r="T14" s="26">
        <v>6.3255999999999997</v>
      </c>
      <c r="U14" s="26">
        <f>AVERAGE(T5:T14)</f>
        <v>5.8222600000000009</v>
      </c>
      <c r="V14" s="36">
        <f>STDEV(T5:T14)</f>
        <v>0.66829445971732704</v>
      </c>
      <c r="W14" s="26">
        <f>((U14-$U$42)/$U$42)*100</f>
        <v>-7.3398313507457136</v>
      </c>
      <c r="X14" s="41">
        <f>(V14/U14)*100</f>
        <v>11.478265479681893</v>
      </c>
      <c r="Z14" s="11">
        <v>1</v>
      </c>
      <c r="AA14" s="1" t="s">
        <v>19</v>
      </c>
      <c r="AB14" s="2">
        <v>1.2827</v>
      </c>
      <c r="AC14" s="2">
        <f>AVERAGE(AB5:AB14)</f>
        <v>1.6720900000000001</v>
      </c>
      <c r="AD14" s="37">
        <f>STDEV(AB5:AB14)</f>
        <v>0.26407084255723617</v>
      </c>
      <c r="AE14" s="2"/>
      <c r="AF14" s="40">
        <f>(AD14/AC14)*100</f>
        <v>15.792860585090285</v>
      </c>
    </row>
    <row r="15" spans="2:32" x14ac:dyDescent="0.35">
      <c r="B15" s="6">
        <v>2</v>
      </c>
      <c r="C15" s="7" t="s">
        <v>0</v>
      </c>
      <c r="D15" s="8">
        <v>116.6061</v>
      </c>
      <c r="E15" s="8"/>
      <c r="F15" s="19"/>
      <c r="G15" s="28"/>
      <c r="H15" s="31"/>
      <c r="I15" s="5"/>
      <c r="J15" s="11">
        <v>2</v>
      </c>
      <c r="K15" s="5" t="s">
        <v>15</v>
      </c>
      <c r="L15" s="2">
        <v>24.425599999999999</v>
      </c>
      <c r="M15" s="2"/>
      <c r="N15" s="37"/>
      <c r="O15" s="2"/>
      <c r="P15" s="40"/>
      <c r="R15" s="6">
        <v>2</v>
      </c>
      <c r="S15" s="28" t="s">
        <v>18</v>
      </c>
      <c r="T15" s="28">
        <v>6.1477000000000004</v>
      </c>
      <c r="U15" s="28"/>
      <c r="V15" s="38"/>
      <c r="W15" s="28"/>
      <c r="X15" s="39"/>
      <c r="Z15" s="6">
        <v>2</v>
      </c>
      <c r="AA15" s="7" t="s">
        <v>19</v>
      </c>
      <c r="AB15" s="28">
        <v>2.2056</v>
      </c>
      <c r="AC15" s="28"/>
      <c r="AD15" s="38"/>
      <c r="AE15" s="28"/>
      <c r="AF15" s="39"/>
    </row>
    <row r="16" spans="2:32" x14ac:dyDescent="0.35">
      <c r="B16" s="11">
        <v>2</v>
      </c>
      <c r="C16" s="1" t="s">
        <v>0</v>
      </c>
      <c r="D16" s="4">
        <v>113.0535</v>
      </c>
      <c r="E16" s="4"/>
      <c r="F16" s="20"/>
      <c r="G16" s="2"/>
      <c r="H16" s="32"/>
      <c r="I16" s="5"/>
      <c r="J16" s="11">
        <v>2</v>
      </c>
      <c r="K16" s="5" t="s">
        <v>15</v>
      </c>
      <c r="L16" s="2">
        <v>23.8733</v>
      </c>
      <c r="M16" s="2"/>
      <c r="N16" s="37"/>
      <c r="O16" s="2"/>
      <c r="P16" s="40"/>
      <c r="R16" s="11">
        <v>2</v>
      </c>
      <c r="S16" s="2" t="s">
        <v>18</v>
      </c>
      <c r="T16" s="2">
        <v>7.4367999999999999</v>
      </c>
      <c r="U16" s="2"/>
      <c r="V16" s="37"/>
      <c r="W16" s="2"/>
      <c r="X16" s="40"/>
      <c r="Z16" s="11">
        <v>2</v>
      </c>
      <c r="AA16" s="1" t="s">
        <v>19</v>
      </c>
      <c r="AB16" s="2">
        <v>1.7464999999999999</v>
      </c>
      <c r="AC16" s="2"/>
      <c r="AD16" s="37"/>
      <c r="AE16" s="2"/>
      <c r="AF16" s="40"/>
    </row>
    <row r="17" spans="2:32" x14ac:dyDescent="0.35">
      <c r="B17" s="11">
        <v>2</v>
      </c>
      <c r="C17" s="1" t="s">
        <v>0</v>
      </c>
      <c r="D17" s="4">
        <v>89.039599999999993</v>
      </c>
      <c r="E17" s="4"/>
      <c r="F17" s="20"/>
      <c r="G17" s="2"/>
      <c r="H17" s="32"/>
      <c r="I17" s="5"/>
      <c r="J17" s="11">
        <v>2</v>
      </c>
      <c r="K17" s="5" t="s">
        <v>15</v>
      </c>
      <c r="L17" s="2">
        <v>20.714600000000001</v>
      </c>
      <c r="M17" s="2"/>
      <c r="N17" s="37"/>
      <c r="O17" s="2"/>
      <c r="P17" s="40"/>
      <c r="R17" s="11">
        <v>2</v>
      </c>
      <c r="S17" s="2" t="s">
        <v>18</v>
      </c>
      <c r="T17" s="2">
        <v>5.9805000000000001</v>
      </c>
      <c r="U17" s="2"/>
      <c r="V17" s="37"/>
      <c r="W17" s="2"/>
      <c r="X17" s="40"/>
      <c r="Z17" s="11">
        <v>2</v>
      </c>
      <c r="AA17" s="1" t="s">
        <v>19</v>
      </c>
      <c r="AB17" s="2">
        <v>2.5249000000000001</v>
      </c>
      <c r="AC17" s="2"/>
      <c r="AD17" s="37"/>
      <c r="AE17" s="2"/>
      <c r="AF17" s="40"/>
    </row>
    <row r="18" spans="2:32" x14ac:dyDescent="0.35">
      <c r="B18" s="11">
        <v>2</v>
      </c>
      <c r="C18" s="1" t="s">
        <v>0</v>
      </c>
      <c r="D18" s="4">
        <v>100.4319</v>
      </c>
      <c r="E18" s="4"/>
      <c r="F18" s="20"/>
      <c r="G18" s="2"/>
      <c r="H18" s="32"/>
      <c r="I18" s="5"/>
      <c r="J18" s="11">
        <v>2</v>
      </c>
      <c r="K18" s="5" t="s">
        <v>15</v>
      </c>
      <c r="L18" s="2">
        <v>24.082999999999998</v>
      </c>
      <c r="M18" s="2"/>
      <c r="N18" s="37"/>
      <c r="O18" s="2"/>
      <c r="P18" s="40"/>
      <c r="R18" s="11">
        <v>2</v>
      </c>
      <c r="S18" s="2" t="s">
        <v>18</v>
      </c>
      <c r="T18" s="2">
        <v>7.8109999999999999</v>
      </c>
      <c r="U18" s="2"/>
      <c r="V18" s="37"/>
      <c r="W18" s="2"/>
      <c r="X18" s="40"/>
      <c r="Z18" s="11">
        <v>2</v>
      </c>
      <c r="AA18" s="1" t="s">
        <v>19</v>
      </c>
      <c r="AB18" s="2">
        <v>2.1269</v>
      </c>
      <c r="AC18" s="2"/>
      <c r="AD18" s="37"/>
      <c r="AE18" s="2"/>
      <c r="AF18" s="40"/>
    </row>
    <row r="19" spans="2:32" x14ac:dyDescent="0.35">
      <c r="B19" s="11">
        <v>2</v>
      </c>
      <c r="C19" s="1" t="s">
        <v>0</v>
      </c>
      <c r="D19" s="4">
        <v>109.4618</v>
      </c>
      <c r="E19" s="4"/>
      <c r="F19" s="20"/>
      <c r="G19" s="2"/>
      <c r="H19" s="32"/>
      <c r="I19" s="5"/>
      <c r="J19" s="11">
        <v>2</v>
      </c>
      <c r="K19" s="5" t="s">
        <v>15</v>
      </c>
      <c r="L19" s="2">
        <v>19.018599999999999</v>
      </c>
      <c r="M19" s="2"/>
      <c r="N19" s="37"/>
      <c r="O19" s="2"/>
      <c r="P19" s="40"/>
      <c r="R19" s="11">
        <v>2</v>
      </c>
      <c r="S19" s="2" t="s">
        <v>18</v>
      </c>
      <c r="T19" s="2">
        <v>6.1311999999999998</v>
      </c>
      <c r="U19" s="2"/>
      <c r="V19" s="37"/>
      <c r="W19" s="2"/>
      <c r="X19" s="40"/>
      <c r="Z19" s="11">
        <v>2</v>
      </c>
      <c r="AA19" s="1" t="s">
        <v>19</v>
      </c>
      <c r="AB19" s="2">
        <v>2.5505</v>
      </c>
      <c r="AC19" s="2"/>
      <c r="AD19" s="37"/>
      <c r="AE19" s="2"/>
      <c r="AF19" s="40"/>
    </row>
    <row r="20" spans="2:32" x14ac:dyDescent="0.35">
      <c r="B20" s="11">
        <v>2</v>
      </c>
      <c r="C20" s="1" t="s">
        <v>0</v>
      </c>
      <c r="D20" s="4">
        <v>90.184799999999996</v>
      </c>
      <c r="E20" s="4"/>
      <c r="F20" s="20"/>
      <c r="G20" s="2"/>
      <c r="H20" s="32"/>
      <c r="I20" s="5"/>
      <c r="J20" s="11">
        <v>2</v>
      </c>
      <c r="K20" s="5" t="s">
        <v>15</v>
      </c>
      <c r="L20" s="2">
        <v>20.8825</v>
      </c>
      <c r="M20" s="2"/>
      <c r="N20" s="37"/>
      <c r="O20" s="2"/>
      <c r="P20" s="40"/>
      <c r="R20" s="11">
        <v>2</v>
      </c>
      <c r="S20" s="2" t="s">
        <v>18</v>
      </c>
      <c r="T20" s="2">
        <v>7.0567000000000002</v>
      </c>
      <c r="U20" s="2"/>
      <c r="V20" s="37"/>
      <c r="W20" s="2"/>
      <c r="X20" s="40"/>
      <c r="Z20" s="11">
        <v>2</v>
      </c>
      <c r="AA20" s="1" t="s">
        <v>19</v>
      </c>
      <c r="AB20" s="2">
        <v>1.7464999999999999</v>
      </c>
      <c r="AC20" s="2"/>
      <c r="AD20" s="37"/>
      <c r="AE20" s="2"/>
      <c r="AF20" s="40"/>
    </row>
    <row r="21" spans="2:32" x14ac:dyDescent="0.35">
      <c r="B21" s="11">
        <v>2</v>
      </c>
      <c r="C21" s="1" t="s">
        <v>0</v>
      </c>
      <c r="D21" s="4">
        <v>109.4618</v>
      </c>
      <c r="E21" s="4"/>
      <c r="F21" s="20"/>
      <c r="G21" s="2"/>
      <c r="H21" s="32"/>
      <c r="I21" s="5"/>
      <c r="J21" s="11">
        <v>2</v>
      </c>
      <c r="K21" s="5" t="s">
        <v>15</v>
      </c>
      <c r="L21" s="2">
        <v>17.520199999999999</v>
      </c>
      <c r="M21" s="2"/>
      <c r="N21" s="37"/>
      <c r="O21" s="2"/>
      <c r="P21" s="40"/>
      <c r="R21" s="11">
        <v>2</v>
      </c>
      <c r="S21" s="2" t="s">
        <v>18</v>
      </c>
      <c r="T21" s="2">
        <v>6.7140000000000004</v>
      </c>
      <c r="U21" s="2"/>
      <c r="V21" s="37"/>
      <c r="W21" s="2"/>
      <c r="X21" s="40"/>
      <c r="Z21" s="11">
        <v>2</v>
      </c>
      <c r="AA21" s="1" t="s">
        <v>19</v>
      </c>
      <c r="AB21" s="2">
        <v>2.5712000000000002</v>
      </c>
      <c r="AC21" s="2"/>
      <c r="AD21" s="37"/>
      <c r="AE21" s="2"/>
      <c r="AF21" s="40"/>
    </row>
    <row r="22" spans="2:32" x14ac:dyDescent="0.35">
      <c r="B22" s="11">
        <v>2</v>
      </c>
      <c r="C22" s="1" t="s">
        <v>0</v>
      </c>
      <c r="D22" s="4">
        <v>81.694400000000002</v>
      </c>
      <c r="E22" s="4"/>
      <c r="F22" s="20"/>
      <c r="G22" s="2"/>
      <c r="H22" s="32"/>
      <c r="I22" s="5"/>
      <c r="J22" s="11">
        <v>2</v>
      </c>
      <c r="K22" s="5" t="s">
        <v>15</v>
      </c>
      <c r="L22" s="2">
        <v>20.410299999999999</v>
      </c>
      <c r="M22" s="2"/>
      <c r="N22" s="37"/>
      <c r="O22" s="2"/>
      <c r="P22" s="40"/>
      <c r="R22" s="11">
        <v>2</v>
      </c>
      <c r="S22" s="2" t="s">
        <v>18</v>
      </c>
      <c r="T22" s="2">
        <v>5.7983000000000002</v>
      </c>
      <c r="U22" s="2"/>
      <c r="V22" s="37"/>
      <c r="W22" s="2"/>
      <c r="X22" s="40"/>
      <c r="Z22" s="11">
        <v>2</v>
      </c>
      <c r="AA22" s="1" t="s">
        <v>19</v>
      </c>
      <c r="AB22" s="2">
        <v>1.8480000000000001</v>
      </c>
      <c r="AC22" s="2"/>
      <c r="AD22" s="37"/>
      <c r="AE22" s="2"/>
      <c r="AF22" s="40"/>
    </row>
    <row r="23" spans="2:32" x14ac:dyDescent="0.35">
      <c r="B23" s="13">
        <v>2</v>
      </c>
      <c r="C23" s="14" t="s">
        <v>0</v>
      </c>
      <c r="D23" s="15">
        <v>102.2037</v>
      </c>
      <c r="E23" s="15">
        <f>AVERAGE(D15:D23)</f>
        <v>101.34862222222222</v>
      </c>
      <c r="F23" s="21">
        <f>STDEV(D15:D23)</f>
        <v>12.06982312792711</v>
      </c>
      <c r="G23" s="29">
        <f>((E23-$E$41)/$E$41)*100</f>
        <v>10.554027043053456</v>
      </c>
      <c r="H23" s="30">
        <f>(F23/E23)*100</f>
        <v>11.909212837114049</v>
      </c>
      <c r="I23" s="5"/>
      <c r="J23" s="11">
        <v>2</v>
      </c>
      <c r="K23" s="5" t="s">
        <v>15</v>
      </c>
      <c r="L23" s="2">
        <v>19.237300000000001</v>
      </c>
      <c r="M23" s="2"/>
      <c r="N23" s="37"/>
      <c r="O23" s="2"/>
      <c r="P23" s="40"/>
      <c r="R23" s="11">
        <v>2</v>
      </c>
      <c r="S23" s="2" t="s">
        <v>18</v>
      </c>
      <c r="T23" s="2">
        <v>7.7847999999999997</v>
      </c>
      <c r="U23" s="2"/>
      <c r="V23" s="37"/>
      <c r="W23" s="2"/>
      <c r="X23" s="40"/>
      <c r="Z23" s="11">
        <v>2</v>
      </c>
      <c r="AA23" s="1" t="s">
        <v>19</v>
      </c>
      <c r="AB23" s="2">
        <v>2.4611999999999998</v>
      </c>
      <c r="AC23" s="2"/>
      <c r="AD23" s="37"/>
      <c r="AE23" s="2"/>
      <c r="AF23" s="40"/>
    </row>
    <row r="24" spans="2:32" x14ac:dyDescent="0.35">
      <c r="B24" s="6">
        <v>3</v>
      </c>
      <c r="C24" s="7" t="s">
        <v>0</v>
      </c>
      <c r="D24" s="8">
        <v>78.924400000000006</v>
      </c>
      <c r="E24" s="8"/>
      <c r="F24" s="19"/>
      <c r="G24" s="28"/>
      <c r="H24" s="31"/>
      <c r="I24" s="5"/>
      <c r="J24" s="13">
        <v>2</v>
      </c>
      <c r="K24" s="16" t="s">
        <v>15</v>
      </c>
      <c r="L24" s="26">
        <v>17.9376</v>
      </c>
      <c r="M24" s="26">
        <f>AVERAGE(L15:L24)</f>
        <v>20.810300000000002</v>
      </c>
      <c r="N24" s="36">
        <f>STDEV(L15:L24)</f>
        <v>2.5407562500606486</v>
      </c>
      <c r="O24" s="26">
        <f>((M24-$M$42)/$M$42)*100</f>
        <v>7.8810479551820762</v>
      </c>
      <c r="P24" s="41">
        <f>(N24/M24)*100</f>
        <v>12.209128412664153</v>
      </c>
      <c r="R24" s="11">
        <v>2</v>
      </c>
      <c r="S24" s="2" t="s">
        <v>18</v>
      </c>
      <c r="T24" s="2">
        <v>8.2651000000000003</v>
      </c>
      <c r="U24" s="2">
        <f>AVERAGE(T15:T24)</f>
        <v>6.912609999999999</v>
      </c>
      <c r="V24" s="37">
        <f>STDEV(T15:T24)</f>
        <v>0.88432252342934814</v>
      </c>
      <c r="W24" s="26">
        <f>((U24-$U$42)/$U$42)*100</f>
        <v>10.012883039665263</v>
      </c>
      <c r="X24" s="40">
        <f>(V24/U24)*100</f>
        <v>12.792888987362923</v>
      </c>
      <c r="Z24" s="13">
        <v>2</v>
      </c>
      <c r="AA24" s="14" t="s">
        <v>19</v>
      </c>
      <c r="AB24" s="26">
        <v>1.7977000000000001</v>
      </c>
      <c r="AC24" s="26">
        <f>AVERAGE(AB15:AB24)</f>
        <v>2.1578999999999993</v>
      </c>
      <c r="AD24" s="37">
        <f>STDEV(AB15:AB24)</f>
        <v>0.3526329221411143</v>
      </c>
      <c r="AE24" s="2"/>
      <c r="AF24" s="40">
        <f>(AD24/AC24)*100</f>
        <v>16.341485802915539</v>
      </c>
    </row>
    <row r="25" spans="2:32" x14ac:dyDescent="0.35">
      <c r="B25" s="11">
        <v>3</v>
      </c>
      <c r="C25" s="1" t="s">
        <v>0</v>
      </c>
      <c r="D25" s="4">
        <v>86.304900000000004</v>
      </c>
      <c r="E25" s="4"/>
      <c r="F25" s="20"/>
      <c r="G25" s="2"/>
      <c r="H25" s="32"/>
      <c r="I25" s="5"/>
      <c r="J25" s="6">
        <v>3</v>
      </c>
      <c r="K25" s="9" t="s">
        <v>15</v>
      </c>
      <c r="L25" s="28">
        <v>17.4679</v>
      </c>
      <c r="M25" s="28"/>
      <c r="N25" s="38"/>
      <c r="O25" s="28"/>
      <c r="P25" s="39"/>
      <c r="R25" s="6">
        <v>3</v>
      </c>
      <c r="S25" s="28" t="s">
        <v>18</v>
      </c>
      <c r="T25" s="28">
        <v>5.7316000000000003</v>
      </c>
      <c r="U25" s="28">
        <v>5.9260999999999999</v>
      </c>
      <c r="V25" s="38"/>
      <c r="W25" s="28"/>
      <c r="X25" s="39"/>
      <c r="Z25" s="11">
        <v>3</v>
      </c>
      <c r="AA25" s="1" t="s">
        <v>19</v>
      </c>
      <c r="AB25" s="2">
        <v>1.8564000000000001</v>
      </c>
      <c r="AC25" s="2"/>
      <c r="AD25" s="38"/>
      <c r="AE25" s="28"/>
      <c r="AF25" s="39"/>
    </row>
    <row r="26" spans="2:32" x14ac:dyDescent="0.35">
      <c r="B26" s="11">
        <v>3</v>
      </c>
      <c r="C26" s="1" t="s">
        <v>0</v>
      </c>
      <c r="D26" s="4">
        <v>83.466700000000003</v>
      </c>
      <c r="E26" s="4"/>
      <c r="F26" s="20"/>
      <c r="G26" s="2"/>
      <c r="H26" s="32"/>
      <c r="I26" s="5"/>
      <c r="J26" s="11">
        <v>3</v>
      </c>
      <c r="K26" s="5" t="s">
        <v>15</v>
      </c>
      <c r="L26" s="2">
        <v>19.324300000000001</v>
      </c>
      <c r="M26" s="2"/>
      <c r="N26" s="37"/>
      <c r="O26" s="2"/>
      <c r="P26" s="40"/>
      <c r="R26" s="11">
        <v>3</v>
      </c>
      <c r="S26" s="2" t="s">
        <v>18</v>
      </c>
      <c r="T26" s="2">
        <v>6.1783999999999999</v>
      </c>
      <c r="U26" s="2">
        <v>5.9260999999999999</v>
      </c>
      <c r="V26" s="37"/>
      <c r="W26" s="2"/>
      <c r="X26" s="40"/>
      <c r="Z26" s="11">
        <v>3</v>
      </c>
      <c r="AA26" s="1" t="s">
        <v>19</v>
      </c>
      <c r="AB26" s="2">
        <v>1.5335000000000001</v>
      </c>
      <c r="AC26" s="2"/>
      <c r="AD26" s="37"/>
      <c r="AE26" s="2"/>
      <c r="AF26" s="40"/>
    </row>
    <row r="27" spans="2:32" x14ac:dyDescent="0.35">
      <c r="B27" s="11">
        <v>3</v>
      </c>
      <c r="C27" s="1" t="s">
        <v>0</v>
      </c>
      <c r="D27" s="4">
        <v>102.9195</v>
      </c>
      <c r="E27" s="4"/>
      <c r="F27" s="20"/>
      <c r="G27" s="2"/>
      <c r="H27" s="32"/>
      <c r="I27" s="5"/>
      <c r="J27" s="11">
        <v>3</v>
      </c>
      <c r="K27" s="5" t="s">
        <v>15</v>
      </c>
      <c r="L27" s="2">
        <v>18.061900000000001</v>
      </c>
      <c r="M27" s="2"/>
      <c r="N27" s="37"/>
      <c r="O27" s="2"/>
      <c r="P27" s="40"/>
      <c r="R27" s="11">
        <v>3</v>
      </c>
      <c r="S27" s="2" t="s">
        <v>18</v>
      </c>
      <c r="T27" s="2">
        <v>5.7276999999999996</v>
      </c>
      <c r="U27" s="2">
        <v>5.9260999999999999</v>
      </c>
      <c r="V27" s="37"/>
      <c r="W27" s="2"/>
      <c r="X27" s="40"/>
      <c r="Z27" s="11">
        <v>3</v>
      </c>
      <c r="AA27" s="1" t="s">
        <v>19</v>
      </c>
      <c r="AB27" s="2">
        <v>2.1105</v>
      </c>
      <c r="AC27" s="2"/>
      <c r="AD27" s="37"/>
      <c r="AE27" s="2"/>
      <c r="AF27" s="40"/>
    </row>
    <row r="28" spans="2:32" x14ac:dyDescent="0.35">
      <c r="B28" s="11">
        <v>3</v>
      </c>
      <c r="C28" s="1" t="s">
        <v>0</v>
      </c>
      <c r="D28" s="4">
        <v>76.433199999999999</v>
      </c>
      <c r="E28" s="4"/>
      <c r="F28" s="20"/>
      <c r="G28" s="2"/>
      <c r="H28" s="32"/>
      <c r="I28" s="5"/>
      <c r="J28" s="11">
        <v>3</v>
      </c>
      <c r="K28" s="5" t="s">
        <v>15</v>
      </c>
      <c r="L28" s="2">
        <v>21.0307</v>
      </c>
      <c r="M28" s="2"/>
      <c r="N28" s="37"/>
      <c r="O28" s="2"/>
      <c r="P28" s="40"/>
      <c r="R28" s="11">
        <v>3</v>
      </c>
      <c r="S28" s="2" t="s">
        <v>18</v>
      </c>
      <c r="T28" s="2">
        <v>6.3666999999999998</v>
      </c>
      <c r="U28" s="2">
        <v>5.9260999999999999</v>
      </c>
      <c r="V28" s="37"/>
      <c r="W28" s="2"/>
      <c r="X28" s="40"/>
      <c r="Z28" s="11">
        <v>3</v>
      </c>
      <c r="AA28" s="1" t="s">
        <v>19</v>
      </c>
      <c r="AB28" s="2">
        <v>1.6677999999999999</v>
      </c>
      <c r="AC28" s="2"/>
      <c r="AD28" s="37"/>
      <c r="AE28" s="2"/>
      <c r="AF28" s="40"/>
    </row>
    <row r="29" spans="2:32" x14ac:dyDescent="0.35">
      <c r="B29" s="11">
        <v>3</v>
      </c>
      <c r="C29" s="1" t="s">
        <v>0</v>
      </c>
      <c r="D29" s="4">
        <v>91.023099999999999</v>
      </c>
      <c r="E29" s="4"/>
      <c r="F29" s="20"/>
      <c r="G29" s="2"/>
      <c r="H29" s="32"/>
      <c r="I29" s="5"/>
      <c r="J29" s="11">
        <v>3</v>
      </c>
      <c r="K29" s="5" t="s">
        <v>15</v>
      </c>
      <c r="L29" s="2">
        <v>17.8657</v>
      </c>
      <c r="M29" s="2"/>
      <c r="N29" s="37"/>
      <c r="O29" s="2"/>
      <c r="P29" s="40"/>
      <c r="R29" s="11">
        <v>3</v>
      </c>
      <c r="S29" s="2" t="s">
        <v>18</v>
      </c>
      <c r="T29" s="2">
        <v>5.6848000000000001</v>
      </c>
      <c r="U29" s="2">
        <v>5.9260999999999999</v>
      </c>
      <c r="V29" s="37"/>
      <c r="W29" s="2"/>
      <c r="X29" s="40"/>
      <c r="Z29" s="11">
        <v>3</v>
      </c>
      <c r="AA29" s="1" t="s">
        <v>19</v>
      </c>
      <c r="AB29" s="2">
        <v>1.8463000000000001</v>
      </c>
      <c r="AC29" s="2"/>
      <c r="AD29" s="37"/>
      <c r="AE29" s="2"/>
      <c r="AF29" s="40"/>
    </row>
    <row r="30" spans="2:32" x14ac:dyDescent="0.35">
      <c r="B30" s="11">
        <v>3</v>
      </c>
      <c r="C30" s="1" t="s">
        <v>0</v>
      </c>
      <c r="D30" s="4">
        <v>80.227599999999995</v>
      </c>
      <c r="E30" s="4"/>
      <c r="F30" s="20"/>
      <c r="G30" s="2"/>
      <c r="H30" s="32"/>
      <c r="I30" s="5"/>
      <c r="J30" s="11">
        <v>3</v>
      </c>
      <c r="K30" s="5" t="s">
        <v>15</v>
      </c>
      <c r="L30" s="2">
        <v>19.192900000000002</v>
      </c>
      <c r="M30" s="2"/>
      <c r="N30" s="37"/>
      <c r="O30" s="2"/>
      <c r="P30" s="40"/>
      <c r="R30" s="11">
        <v>3</v>
      </c>
      <c r="S30" s="2" t="s">
        <v>18</v>
      </c>
      <c r="T30" s="2">
        <v>6.3711000000000002</v>
      </c>
      <c r="U30" s="2">
        <v>5.9260999999999999</v>
      </c>
      <c r="V30" s="37"/>
      <c r="W30" s="2"/>
      <c r="X30" s="40"/>
      <c r="Z30" s="11">
        <v>3</v>
      </c>
      <c r="AA30" s="1" t="s">
        <v>19</v>
      </c>
      <c r="AB30" s="2">
        <v>1.6883999999999999</v>
      </c>
      <c r="AC30" s="2"/>
      <c r="AD30" s="37"/>
      <c r="AE30" s="2"/>
      <c r="AF30" s="40"/>
    </row>
    <row r="31" spans="2:32" x14ac:dyDescent="0.35">
      <c r="B31" s="11">
        <v>3</v>
      </c>
      <c r="C31" s="1" t="s">
        <v>0</v>
      </c>
      <c r="D31" s="4">
        <v>87.311899999999994</v>
      </c>
      <c r="E31" s="4"/>
      <c r="F31" s="20"/>
      <c r="G31" s="2"/>
      <c r="H31" s="32"/>
      <c r="I31" s="5"/>
      <c r="J31" s="11">
        <v>3</v>
      </c>
      <c r="K31" s="5" t="s">
        <v>15</v>
      </c>
      <c r="L31" s="2">
        <v>19.469899999999999</v>
      </c>
      <c r="M31" s="2"/>
      <c r="N31" s="37"/>
      <c r="O31" s="2"/>
      <c r="P31" s="40"/>
      <c r="R31" s="11">
        <v>3</v>
      </c>
      <c r="S31" s="2" t="s">
        <v>18</v>
      </c>
      <c r="T31" s="2">
        <v>5.1632999999999996</v>
      </c>
      <c r="U31" s="2">
        <v>5.9260999999999999</v>
      </c>
      <c r="V31" s="37"/>
      <c r="W31" s="2"/>
      <c r="X31" s="40"/>
      <c r="Z31" s="11">
        <v>3</v>
      </c>
      <c r="AA31" s="1" t="s">
        <v>19</v>
      </c>
      <c r="AB31" s="2">
        <v>1.6163000000000001</v>
      </c>
      <c r="AC31" s="2"/>
      <c r="AD31" s="37"/>
      <c r="AE31" s="2"/>
      <c r="AF31" s="40"/>
    </row>
    <row r="32" spans="2:32" x14ac:dyDescent="0.35">
      <c r="B32" s="11">
        <v>3</v>
      </c>
      <c r="C32" s="1" t="s">
        <v>0</v>
      </c>
      <c r="D32" s="4">
        <v>84.095600000000005</v>
      </c>
      <c r="E32" s="4"/>
      <c r="F32" s="20"/>
      <c r="G32" s="2"/>
      <c r="H32" s="32"/>
      <c r="I32" s="5"/>
      <c r="J32" s="11">
        <v>3</v>
      </c>
      <c r="K32" s="5" t="s">
        <v>15</v>
      </c>
      <c r="L32" s="2">
        <v>19.443300000000001</v>
      </c>
      <c r="M32" s="2"/>
      <c r="N32" s="37"/>
      <c r="O32" s="2"/>
      <c r="P32" s="40"/>
      <c r="R32" s="11">
        <v>3</v>
      </c>
      <c r="S32" s="2" t="s">
        <v>18</v>
      </c>
      <c r="T32" s="2">
        <v>5.5963000000000003</v>
      </c>
      <c r="U32" s="2">
        <v>5.9260999999999999</v>
      </c>
      <c r="V32" s="37"/>
      <c r="W32" s="2"/>
      <c r="X32" s="40"/>
      <c r="Z32" s="11">
        <v>3</v>
      </c>
      <c r="AA32" s="1" t="s">
        <v>19</v>
      </c>
      <c r="AB32" s="2">
        <v>1.4690000000000001</v>
      </c>
      <c r="AC32" s="2">
        <f>AVERAGE(AB25:AB32)</f>
        <v>1.723525</v>
      </c>
      <c r="AD32" s="37">
        <f>STDEV(AB25:AB32)</f>
        <v>0.20674616424149572</v>
      </c>
      <c r="AE32" s="2"/>
      <c r="AF32" s="40">
        <f>(AD32/AC32)*100</f>
        <v>11.995541941166838</v>
      </c>
    </row>
    <row r="33" spans="2:32" x14ac:dyDescent="0.35">
      <c r="B33" s="13">
        <v>3</v>
      </c>
      <c r="C33" s="14" t="s">
        <v>0</v>
      </c>
      <c r="D33" s="15">
        <v>90.4041</v>
      </c>
      <c r="E33" s="15">
        <f>AVERAGE(D24:D33)</f>
        <v>86.111099999999993</v>
      </c>
      <c r="F33" s="20">
        <f>STDEV(D24:D33)</f>
        <v>7.5831718063383233</v>
      </c>
      <c r="G33" s="29">
        <f>((E33-$E$41)/$E$41)*100</f>
        <v>-6.0675057108009574</v>
      </c>
      <c r="H33" s="30">
        <f>(F33/E33)*100</f>
        <v>8.8062651694593654</v>
      </c>
      <c r="I33" s="5"/>
      <c r="J33" s="11">
        <v>3</v>
      </c>
      <c r="K33" s="5" t="s">
        <v>15</v>
      </c>
      <c r="L33" s="2">
        <v>15.876300000000001</v>
      </c>
      <c r="M33" s="2"/>
      <c r="N33" s="37"/>
      <c r="O33" s="2"/>
      <c r="P33" s="40"/>
      <c r="R33" s="11">
        <v>3</v>
      </c>
      <c r="S33" s="2" t="s">
        <v>18</v>
      </c>
      <c r="T33" s="2">
        <v>6.0243000000000002</v>
      </c>
      <c r="U33" s="2">
        <v>5.9260999999999999</v>
      </c>
      <c r="V33" s="37"/>
      <c r="W33" s="2"/>
      <c r="X33" s="40"/>
      <c r="Z33" s="6">
        <v>4</v>
      </c>
      <c r="AA33" s="7" t="s">
        <v>19</v>
      </c>
      <c r="AB33" s="28">
        <v>1.7643</v>
      </c>
      <c r="AC33" s="28"/>
      <c r="AD33" s="38"/>
      <c r="AE33" s="28"/>
      <c r="AF33" s="39"/>
    </row>
    <row r="34" spans="2:32" x14ac:dyDescent="0.35">
      <c r="B34" s="11">
        <v>4</v>
      </c>
      <c r="C34" s="1" t="s">
        <v>0</v>
      </c>
      <c r="D34" s="4">
        <v>90.727000000000004</v>
      </c>
      <c r="E34" s="4"/>
      <c r="F34" s="19"/>
      <c r="G34" s="28"/>
      <c r="H34" s="31"/>
      <c r="I34" s="5"/>
      <c r="J34" s="11">
        <v>3</v>
      </c>
      <c r="K34" s="5" t="s">
        <v>15</v>
      </c>
      <c r="L34" s="2">
        <v>18.0989</v>
      </c>
      <c r="M34" s="2">
        <f>AVERAGE(L25:L34)</f>
        <v>18.583179999999999</v>
      </c>
      <c r="N34" s="37">
        <f>STDEV(L25:L34)</f>
        <v>1.4153733930584456</v>
      </c>
      <c r="O34" s="26">
        <f>((M34-$M$42)/$M$42)*100</f>
        <v>-3.66439057871438</v>
      </c>
      <c r="P34" s="41">
        <f>(N34/M34)*100</f>
        <v>7.6164219098047035</v>
      </c>
      <c r="R34" s="13">
        <v>3</v>
      </c>
      <c r="S34" s="26" t="s">
        <v>18</v>
      </c>
      <c r="T34" s="26">
        <v>6.5608000000000004</v>
      </c>
      <c r="U34" s="26">
        <f>AVERAGE(T25:T34)</f>
        <v>5.9405000000000001</v>
      </c>
      <c r="V34" s="36">
        <f>STDEV(T25:T34)</f>
        <v>0.43362461492247739</v>
      </c>
      <c r="W34" s="26">
        <f>((U34-$U$42)/$U$42)*100</f>
        <v>-5.4580640746213653</v>
      </c>
      <c r="X34" s="41">
        <f>(V34/U34)*100</f>
        <v>7.2994632593633089</v>
      </c>
      <c r="Z34" s="11">
        <v>4</v>
      </c>
      <c r="AA34" s="1" t="s">
        <v>19</v>
      </c>
      <c r="AB34" s="2">
        <v>1.9379</v>
      </c>
      <c r="AC34" s="2"/>
      <c r="AD34" s="37"/>
      <c r="AE34" s="2"/>
      <c r="AF34" s="40"/>
    </row>
    <row r="35" spans="2:32" x14ac:dyDescent="0.35">
      <c r="B35" s="11">
        <v>4</v>
      </c>
      <c r="C35" s="1" t="s">
        <v>0</v>
      </c>
      <c r="D35" s="4">
        <v>91.889499999999998</v>
      </c>
      <c r="E35" s="4"/>
      <c r="F35" s="20"/>
      <c r="G35" s="2"/>
      <c r="H35" s="32"/>
      <c r="I35" s="5"/>
      <c r="J35" s="6">
        <v>4</v>
      </c>
      <c r="K35" s="9" t="s">
        <v>15</v>
      </c>
      <c r="L35" s="28">
        <v>21.6692</v>
      </c>
      <c r="M35" s="28"/>
      <c r="N35" s="38"/>
      <c r="O35" s="28"/>
      <c r="P35" s="39"/>
      <c r="R35" s="11">
        <v>4</v>
      </c>
      <c r="S35" s="2" t="s">
        <v>18</v>
      </c>
      <c r="T35" s="2">
        <v>5.8037999999999998</v>
      </c>
      <c r="U35" s="2"/>
      <c r="V35" s="37"/>
      <c r="W35" s="2"/>
      <c r="X35" s="40"/>
      <c r="Z35" s="11">
        <v>4</v>
      </c>
      <c r="AA35" s="1" t="s">
        <v>19</v>
      </c>
      <c r="AB35" s="2">
        <v>2.1356000000000002</v>
      </c>
      <c r="AC35" s="2"/>
      <c r="AD35" s="37"/>
      <c r="AE35" s="2"/>
      <c r="AF35" s="40"/>
    </row>
    <row r="36" spans="2:32" x14ac:dyDescent="0.35">
      <c r="B36" s="11">
        <v>4</v>
      </c>
      <c r="C36" s="1" t="s">
        <v>0</v>
      </c>
      <c r="D36" s="4">
        <v>89.040599999999998</v>
      </c>
      <c r="E36" s="4"/>
      <c r="F36" s="20"/>
      <c r="G36" s="2"/>
      <c r="H36" s="32"/>
      <c r="I36" s="5"/>
      <c r="J36" s="11">
        <v>4</v>
      </c>
      <c r="K36" s="5" t="s">
        <v>15</v>
      </c>
      <c r="L36" s="2">
        <v>19.9682</v>
      </c>
      <c r="M36" s="2"/>
      <c r="N36" s="37"/>
      <c r="O36" s="2"/>
      <c r="P36" s="40"/>
      <c r="R36" s="11">
        <v>4</v>
      </c>
      <c r="S36" s="2" t="s">
        <v>18</v>
      </c>
      <c r="T36" s="2">
        <v>5.4131</v>
      </c>
      <c r="U36" s="2"/>
      <c r="V36" s="37"/>
      <c r="W36" s="2"/>
      <c r="X36" s="40"/>
      <c r="Z36" s="13">
        <v>4</v>
      </c>
      <c r="AA36" s="14" t="s">
        <v>19</v>
      </c>
      <c r="AB36" s="26">
        <v>1.5462</v>
      </c>
      <c r="AC36" s="26">
        <f>AVERAGE(AB33:AB36)</f>
        <v>1.8459999999999999</v>
      </c>
      <c r="AD36" s="36">
        <f>STDEV(AB33:AB36)</f>
        <v>0.25091080752596939</v>
      </c>
      <c r="AE36" s="26"/>
      <c r="AF36" s="41">
        <f>(AD36/AC36)*100</f>
        <v>13.592134752219362</v>
      </c>
    </row>
    <row r="37" spans="2:32" x14ac:dyDescent="0.35">
      <c r="B37" s="11">
        <v>4</v>
      </c>
      <c r="C37" s="1" t="s">
        <v>0</v>
      </c>
      <c r="D37" s="4">
        <v>100.3874</v>
      </c>
      <c r="E37" s="4"/>
      <c r="F37" s="20"/>
      <c r="G37" s="2"/>
      <c r="H37" s="32"/>
      <c r="I37" s="5"/>
      <c r="J37" s="11">
        <v>4</v>
      </c>
      <c r="K37" s="5" t="s">
        <v>15</v>
      </c>
      <c r="L37" s="2">
        <v>19.649699999999999</v>
      </c>
      <c r="M37" s="2"/>
      <c r="N37" s="37"/>
      <c r="O37" s="2"/>
      <c r="P37" s="40"/>
      <c r="R37" s="11">
        <v>4</v>
      </c>
      <c r="S37" s="2" t="s">
        <v>18</v>
      </c>
      <c r="T37" s="2">
        <v>6.3532999999999999</v>
      </c>
      <c r="U37" s="2"/>
      <c r="V37" s="37"/>
      <c r="W37" s="2"/>
      <c r="X37" s="40"/>
      <c r="Z37" s="43" t="s">
        <v>11</v>
      </c>
      <c r="AA37" s="47"/>
      <c r="AB37" s="47"/>
      <c r="AC37" s="45"/>
      <c r="AD37" s="45">
        <f>STDEV(AD14,AD24,AD32,AD36)</f>
        <v>6.1157854261828272E-2</v>
      </c>
      <c r="AE37" s="45"/>
      <c r="AF37" s="45">
        <f>AVERAGE(AF36,AF32,AF24,AF14)</f>
        <v>14.430505770348006</v>
      </c>
    </row>
    <row r="38" spans="2:32" x14ac:dyDescent="0.35">
      <c r="B38" s="11">
        <v>4</v>
      </c>
      <c r="C38" s="1" t="s">
        <v>0</v>
      </c>
      <c r="D38" s="4">
        <v>94.3857</v>
      </c>
      <c r="E38" s="4"/>
      <c r="F38" s="20"/>
      <c r="G38" s="2"/>
      <c r="H38" s="32"/>
      <c r="I38" s="5"/>
      <c r="J38" s="11">
        <v>4</v>
      </c>
      <c r="K38" s="5" t="s">
        <v>15</v>
      </c>
      <c r="L38" s="2">
        <v>20.941199999999998</v>
      </c>
      <c r="M38" s="2"/>
      <c r="N38" s="37"/>
      <c r="O38" s="2"/>
      <c r="P38" s="40"/>
      <c r="R38" s="11">
        <v>4</v>
      </c>
      <c r="S38" s="2" t="s">
        <v>18</v>
      </c>
      <c r="T38" s="2">
        <v>7.0818000000000003</v>
      </c>
      <c r="U38" s="2"/>
      <c r="V38" s="37"/>
      <c r="W38" s="2"/>
      <c r="X38" s="40"/>
      <c r="Z38" t="s">
        <v>12</v>
      </c>
      <c r="AA38" s="1"/>
      <c r="AB38" s="1"/>
      <c r="AC38" s="4">
        <f>AVERAGE(AC14,AC24,AC32,AC36)</f>
        <v>1.8498787499999998</v>
      </c>
      <c r="AD38" s="4">
        <f>STDEV(AC14,AC24,AC32,AC36)</f>
        <v>0.21791913249242179</v>
      </c>
      <c r="AE38" s="4"/>
      <c r="AF38" s="4">
        <f>(AD38/AC38)*100</f>
        <v>11.780184646827356</v>
      </c>
    </row>
    <row r="39" spans="2:32" x14ac:dyDescent="0.35">
      <c r="B39" s="13">
        <v>4</v>
      </c>
      <c r="C39" s="14" t="s">
        <v>0</v>
      </c>
      <c r="D39" s="15">
        <v>93.881100000000004</v>
      </c>
      <c r="E39" s="15">
        <f>AVERAGE(D34:D38)</f>
        <v>93.28604</v>
      </c>
      <c r="F39" s="21">
        <f>STDEV(D34:D39)</f>
        <v>3.9612224574828749</v>
      </c>
      <c r="G39" s="33">
        <f>((E39-$E$41)/$E$41)*100</f>
        <v>1.7591276799622135</v>
      </c>
      <c r="H39" s="34">
        <f>(F39/E39)*100</f>
        <v>4.2463185890224038</v>
      </c>
      <c r="I39" s="5"/>
      <c r="J39" s="11">
        <v>4</v>
      </c>
      <c r="K39" s="5" t="s">
        <v>15</v>
      </c>
      <c r="L39" s="2">
        <v>19.104399999999998</v>
      </c>
      <c r="M39" s="2"/>
      <c r="N39" s="37"/>
      <c r="O39" s="2"/>
      <c r="P39" s="40"/>
      <c r="R39" s="11">
        <v>4</v>
      </c>
      <c r="S39" s="2" t="s">
        <v>18</v>
      </c>
      <c r="T39" s="2">
        <v>7.1485000000000003</v>
      </c>
      <c r="U39" s="2"/>
      <c r="V39" s="37"/>
      <c r="W39" s="2"/>
      <c r="X39" s="40"/>
      <c r="Z39" s="44" t="s">
        <v>13</v>
      </c>
      <c r="AA39" s="47"/>
      <c r="AB39" s="47"/>
      <c r="AC39" s="45">
        <f>AVERAGE(AB5:AB36)</f>
        <v>1.8585031249999999</v>
      </c>
      <c r="AD39" s="45">
        <f>STDEV(AB5:AB36)</f>
        <v>0.34196248189264616</v>
      </c>
      <c r="AE39" s="45"/>
      <c r="AF39" s="45">
        <f>(AD39/AC39)*100</f>
        <v>18.399887376710556</v>
      </c>
    </row>
    <row r="40" spans="2:32" x14ac:dyDescent="0.35">
      <c r="B40" s="43" t="s">
        <v>11</v>
      </c>
      <c r="C40" s="44"/>
      <c r="D40" s="44"/>
      <c r="E40" s="45"/>
      <c r="F40" s="45">
        <f>AVERAGE(F5:F39)</f>
        <v>7.4497015941164495</v>
      </c>
      <c r="G40" s="46"/>
      <c r="H40" s="46">
        <f>AVERAGE(H5:H39)</f>
        <v>8.0393869065531902</v>
      </c>
      <c r="I40" s="5"/>
      <c r="J40" s="13">
        <v>4</v>
      </c>
      <c r="K40" s="27" t="s">
        <v>15</v>
      </c>
      <c r="L40" s="26">
        <v>18.070900000000002</v>
      </c>
      <c r="M40" s="26">
        <f>AVERAGE(L35:L40)</f>
        <v>19.900599999999997</v>
      </c>
      <c r="N40" s="36">
        <f>STDEV(L35:L40)</f>
        <v>1.2853055216562319</v>
      </c>
      <c r="O40" s="26">
        <f>((M40-$M$42)/$M$42)*100</f>
        <v>3.1651433634736619</v>
      </c>
      <c r="P40" s="41">
        <f>(N40/M40)*100</f>
        <v>6.4586269843935966</v>
      </c>
      <c r="R40" s="13">
        <v>4</v>
      </c>
      <c r="S40" s="26" t="s">
        <v>18</v>
      </c>
      <c r="T40" s="26">
        <v>6.9501999999999997</v>
      </c>
      <c r="U40" s="26">
        <f>AVERAGE(T35:T40)</f>
        <v>6.45845</v>
      </c>
      <c r="V40" s="36">
        <f>STDEV(T35:T40)</f>
        <v>0.72648909902351566</v>
      </c>
      <c r="W40" s="26">
        <f>((U40-$U$42)/$U$42)*100</f>
        <v>2.7850123857018154</v>
      </c>
      <c r="X40" s="41">
        <f>(V40/U40)*100</f>
        <v>11.248660267146384</v>
      </c>
    </row>
    <row r="41" spans="2:32" x14ac:dyDescent="0.35">
      <c r="B41" t="s">
        <v>12</v>
      </c>
      <c r="E41" s="4">
        <f>AVERAGE(E14,E23,E33,E39)</f>
        <v>91.673388055555549</v>
      </c>
      <c r="F41" s="4">
        <f>STDEV(E14,E23,E33,E39)</f>
        <v>7.3014227832779746</v>
      </c>
      <c r="H41" s="25">
        <f>(F41/E41)*100</f>
        <v>7.964604492258097</v>
      </c>
      <c r="J41" s="43" t="s">
        <v>11</v>
      </c>
      <c r="K41" s="44"/>
      <c r="L41" s="44"/>
      <c r="M41" s="45"/>
      <c r="N41" s="45">
        <f>AVERAGE(N14,N24,N34,N40)</f>
        <v>1.8624190329058772</v>
      </c>
      <c r="O41" s="45"/>
      <c r="P41" s="45">
        <f>AVERAGE(P14,P24,P34,P40)</f>
        <v>9.6610334721416447</v>
      </c>
      <c r="R41" s="43" t="s">
        <v>11</v>
      </c>
      <c r="S41" s="44"/>
      <c r="T41" s="44"/>
      <c r="U41" s="45"/>
      <c r="V41" s="45">
        <f>AVERAGE(V14,V24,V34,V40)</f>
        <v>0.67818267427316703</v>
      </c>
      <c r="W41" s="45"/>
      <c r="X41" s="45">
        <f>AVERAGE(X40,X34,X24,X14)</f>
        <v>10.704819498388627</v>
      </c>
    </row>
    <row r="42" spans="2:32" x14ac:dyDescent="0.35">
      <c r="B42" s="44" t="s">
        <v>13</v>
      </c>
      <c r="C42" s="44"/>
      <c r="D42" s="44"/>
      <c r="E42" s="45">
        <f>AVERAGE(D5:D39)</f>
        <v>91.229651428571444</v>
      </c>
      <c r="F42" s="45">
        <f>STDEV(D5:D39)</f>
        <v>10.284313249609708</v>
      </c>
      <c r="G42" s="47"/>
      <c r="H42" s="46">
        <f>(F42/E42)*100</f>
        <v>11.272994129175036</v>
      </c>
      <c r="J42" t="s">
        <v>12</v>
      </c>
      <c r="M42" s="4">
        <f>AVERAGE(M14,M24,M34,M40)</f>
        <v>19.290042499999998</v>
      </c>
      <c r="N42" s="4">
        <f>STDEV(M14,M24,M34,M40)</f>
        <v>1.3179856654854034</v>
      </c>
      <c r="O42" s="4"/>
      <c r="P42" s="4">
        <f>(N42/M42)*100</f>
        <v>6.8324663643711698</v>
      </c>
      <c r="R42" t="s">
        <v>12</v>
      </c>
      <c r="U42" s="4">
        <f>AVERAGE(U14,U24,U34,U40)</f>
        <v>6.283455</v>
      </c>
      <c r="V42" s="4">
        <f>STDEV(U14,U24,U34,U40)</f>
        <v>0.50225432604740461</v>
      </c>
      <c r="W42" s="5"/>
      <c r="X42" s="4">
        <f>(V42/U42)*100</f>
        <v>7.9932827727325906</v>
      </c>
      <c r="AB42" s="3"/>
    </row>
    <row r="43" spans="2:32" x14ac:dyDescent="0.35">
      <c r="J43" s="44" t="s">
        <v>13</v>
      </c>
      <c r="K43" s="44"/>
      <c r="L43" s="44"/>
      <c r="M43" s="45">
        <f>AVERAGE(L5:L40)</f>
        <v>19.222202777777781</v>
      </c>
      <c r="N43" s="45">
        <f>STDEV(L5:L40)</f>
        <v>2.2597806896733368</v>
      </c>
      <c r="O43" s="45"/>
      <c r="P43" s="45">
        <f>(N43/M43)*100</f>
        <v>11.756096404756494</v>
      </c>
      <c r="R43" s="44" t="s">
        <v>13</v>
      </c>
      <c r="S43" s="44"/>
      <c r="T43" s="44"/>
      <c r="U43" s="45">
        <f>AVERAGE(T5:T40)</f>
        <v>6.2640111111111132</v>
      </c>
      <c r="V43" s="45">
        <f>STDEV(T5:T40)</f>
        <v>0.80747716492355237</v>
      </c>
      <c r="W43" s="45"/>
      <c r="X43" s="45">
        <f>(V43/U43)*100</f>
        <v>12.890736472214234</v>
      </c>
    </row>
    <row r="47" spans="2:32" x14ac:dyDescent="0.35">
      <c r="B47" s="22"/>
      <c r="C47" s="17"/>
      <c r="D47" s="17"/>
      <c r="E47" s="17"/>
      <c r="F47" s="6" t="s">
        <v>10</v>
      </c>
      <c r="G47" s="17"/>
      <c r="H47" s="18"/>
      <c r="J47" s="22"/>
      <c r="K47" s="17"/>
      <c r="L47" s="17"/>
      <c r="M47" s="17"/>
      <c r="N47" s="6" t="s">
        <v>10</v>
      </c>
      <c r="O47" s="17"/>
      <c r="P47" s="18"/>
      <c r="R47" s="22"/>
      <c r="S47" s="17"/>
      <c r="T47" s="17"/>
      <c r="U47" s="17"/>
      <c r="V47" s="6" t="s">
        <v>10</v>
      </c>
      <c r="W47" s="17"/>
      <c r="X47" s="18"/>
    </row>
    <row r="48" spans="2:32" x14ac:dyDescent="0.35">
      <c r="B48" s="13" t="s">
        <v>1</v>
      </c>
      <c r="C48" s="14" t="s">
        <v>5</v>
      </c>
      <c r="D48" s="14" t="s">
        <v>7</v>
      </c>
      <c r="E48" s="14" t="s">
        <v>8</v>
      </c>
      <c r="F48" s="13" t="s">
        <v>9</v>
      </c>
      <c r="G48" s="14" t="s">
        <v>16</v>
      </c>
      <c r="H48" s="23" t="s">
        <v>17</v>
      </c>
      <c r="J48" s="13" t="s">
        <v>1</v>
      </c>
      <c r="K48" s="14" t="s">
        <v>5</v>
      </c>
      <c r="L48" s="14" t="s">
        <v>7</v>
      </c>
      <c r="M48" s="14" t="s">
        <v>8</v>
      </c>
      <c r="N48" s="13" t="s">
        <v>9</v>
      </c>
      <c r="O48" s="14" t="s">
        <v>16</v>
      </c>
      <c r="P48" s="23" t="s">
        <v>17</v>
      </c>
      <c r="R48" s="13" t="s">
        <v>1</v>
      </c>
      <c r="S48" s="14" t="s">
        <v>5</v>
      </c>
      <c r="T48" s="14" t="s">
        <v>7</v>
      </c>
      <c r="U48" s="14" t="s">
        <v>8</v>
      </c>
      <c r="V48" s="13" t="s">
        <v>9</v>
      </c>
      <c r="W48" s="14" t="s">
        <v>16</v>
      </c>
      <c r="X48" s="23" t="s">
        <v>17</v>
      </c>
    </row>
    <row r="49" spans="2:24" x14ac:dyDescent="0.35">
      <c r="B49" s="6">
        <v>1</v>
      </c>
      <c r="C49" s="7" t="s">
        <v>20</v>
      </c>
      <c r="D49" s="28">
        <v>75.655500000000004</v>
      </c>
      <c r="E49" s="28"/>
      <c r="F49" s="38"/>
      <c r="G49" s="28"/>
      <c r="H49" s="39"/>
      <c r="J49" s="6">
        <v>1</v>
      </c>
      <c r="K49" s="7" t="s">
        <v>21</v>
      </c>
      <c r="L49" s="28">
        <v>2.2025000000000001</v>
      </c>
      <c r="M49" s="28"/>
      <c r="N49" s="38"/>
      <c r="O49" s="28"/>
      <c r="P49" s="39"/>
      <c r="R49" s="6">
        <v>1</v>
      </c>
      <c r="S49" s="7" t="s">
        <v>22</v>
      </c>
      <c r="T49" s="28">
        <v>7.0999999999999994E-2</v>
      </c>
      <c r="U49" s="28"/>
      <c r="V49" s="38"/>
      <c r="W49" s="28"/>
      <c r="X49" s="39"/>
    </row>
    <row r="50" spans="2:24" x14ac:dyDescent="0.35">
      <c r="B50" s="11">
        <v>1</v>
      </c>
      <c r="C50" s="1" t="s">
        <v>20</v>
      </c>
      <c r="D50" s="2">
        <v>58.154600000000002</v>
      </c>
      <c r="E50" s="2"/>
      <c r="F50" s="37"/>
      <c r="G50" s="2"/>
      <c r="H50" s="40"/>
      <c r="J50" s="11">
        <v>1</v>
      </c>
      <c r="K50" s="1" t="s">
        <v>21</v>
      </c>
      <c r="L50" s="2">
        <v>1.875</v>
      </c>
      <c r="M50" s="2"/>
      <c r="N50" s="37"/>
      <c r="O50" s="2"/>
      <c r="P50" s="40"/>
      <c r="R50" s="11">
        <v>1</v>
      </c>
      <c r="S50" s="1" t="s">
        <v>22</v>
      </c>
      <c r="T50" s="2">
        <v>8.2699999999999996E-2</v>
      </c>
      <c r="U50" s="2"/>
      <c r="V50" s="37"/>
      <c r="W50" s="2"/>
      <c r="X50" s="40"/>
    </row>
    <row r="51" spans="2:24" x14ac:dyDescent="0.35">
      <c r="B51" s="11">
        <v>1</v>
      </c>
      <c r="C51" s="1" t="s">
        <v>20</v>
      </c>
      <c r="D51" s="2">
        <v>61.853299999999997</v>
      </c>
      <c r="E51" s="2"/>
      <c r="F51" s="37"/>
      <c r="G51" s="2"/>
      <c r="H51" s="40"/>
      <c r="J51" s="11">
        <v>1</v>
      </c>
      <c r="K51" s="1" t="s">
        <v>21</v>
      </c>
      <c r="L51" s="2">
        <v>2.7256</v>
      </c>
      <c r="M51" s="2"/>
      <c r="N51" s="37"/>
      <c r="O51" s="2"/>
      <c r="P51" s="40"/>
      <c r="R51" s="11">
        <v>1</v>
      </c>
      <c r="S51" s="1" t="s">
        <v>22</v>
      </c>
      <c r="T51" s="2">
        <v>0.1026</v>
      </c>
      <c r="U51" s="2"/>
      <c r="V51" s="37"/>
      <c r="W51" s="2"/>
      <c r="X51" s="40"/>
    </row>
    <row r="52" spans="2:24" x14ac:dyDescent="0.35">
      <c r="B52" s="11">
        <v>1</v>
      </c>
      <c r="C52" s="1" t="s">
        <v>20</v>
      </c>
      <c r="D52" s="2">
        <v>62.749600000000001</v>
      </c>
      <c r="E52" s="2"/>
      <c r="F52" s="37"/>
      <c r="G52" s="2"/>
      <c r="H52" s="40"/>
      <c r="J52" s="11">
        <v>1</v>
      </c>
      <c r="K52" s="1" t="s">
        <v>21</v>
      </c>
      <c r="L52" s="2">
        <v>2.6446999999999998</v>
      </c>
      <c r="M52" s="2"/>
      <c r="N52" s="37"/>
      <c r="O52" s="2"/>
      <c r="P52" s="40"/>
      <c r="R52" s="11">
        <v>1</v>
      </c>
      <c r="S52" s="1" t="s">
        <v>22</v>
      </c>
      <c r="T52" s="2">
        <v>0.1108</v>
      </c>
      <c r="U52" s="2"/>
      <c r="V52" s="37"/>
      <c r="W52" s="2"/>
      <c r="X52" s="40"/>
    </row>
    <row r="53" spans="2:24" x14ac:dyDescent="0.35">
      <c r="B53" s="11">
        <v>1</v>
      </c>
      <c r="C53" s="1" t="s">
        <v>20</v>
      </c>
      <c r="D53" s="2">
        <v>68.547899999999998</v>
      </c>
      <c r="E53" s="2"/>
      <c r="F53" s="37"/>
      <c r="G53" s="2"/>
      <c r="H53" s="40"/>
      <c r="J53" s="11">
        <v>1</v>
      </c>
      <c r="K53" s="1" t="s">
        <v>21</v>
      </c>
      <c r="L53" s="2">
        <v>2.2715000000000001</v>
      </c>
      <c r="M53" s="2"/>
      <c r="N53" s="37"/>
      <c r="O53" s="2"/>
      <c r="P53" s="40"/>
      <c r="R53" s="11">
        <v>1</v>
      </c>
      <c r="S53" s="1" t="s">
        <v>22</v>
      </c>
      <c r="T53" s="2">
        <v>9.5799999999999996E-2</v>
      </c>
      <c r="U53" s="2"/>
      <c r="V53" s="37"/>
      <c r="W53" s="2"/>
      <c r="X53" s="40"/>
    </row>
    <row r="54" spans="2:24" x14ac:dyDescent="0.35">
      <c r="B54" s="11">
        <v>1</v>
      </c>
      <c r="C54" s="1" t="s">
        <v>20</v>
      </c>
      <c r="D54" s="2">
        <v>60.5535</v>
      </c>
      <c r="E54" s="2"/>
      <c r="F54" s="37"/>
      <c r="G54" s="2"/>
      <c r="H54" s="40"/>
      <c r="J54" s="11">
        <v>1</v>
      </c>
      <c r="K54" s="1" t="s">
        <v>21</v>
      </c>
      <c r="L54" s="2">
        <v>2.9794999999999998</v>
      </c>
      <c r="M54" s="2"/>
      <c r="N54" s="37"/>
      <c r="O54" s="2"/>
      <c r="P54" s="40"/>
      <c r="R54" s="11">
        <v>1</v>
      </c>
      <c r="S54" s="1" t="s">
        <v>22</v>
      </c>
      <c r="T54" s="2">
        <v>9.7500000000000003E-2</v>
      </c>
      <c r="U54" s="2"/>
      <c r="V54" s="37"/>
      <c r="W54" s="2"/>
      <c r="X54" s="40"/>
    </row>
    <row r="55" spans="2:24" x14ac:dyDescent="0.35">
      <c r="B55" s="11">
        <v>1</v>
      </c>
      <c r="C55" s="1" t="s">
        <v>20</v>
      </c>
      <c r="D55" s="2">
        <v>64.803100000000001</v>
      </c>
      <c r="E55" s="2"/>
      <c r="F55" s="37"/>
      <c r="G55" s="2"/>
      <c r="H55" s="40"/>
      <c r="J55" s="11">
        <v>1</v>
      </c>
      <c r="K55" s="1" t="s">
        <v>21</v>
      </c>
      <c r="L55" s="2">
        <v>3.2862</v>
      </c>
      <c r="M55" s="2"/>
      <c r="N55" s="37"/>
      <c r="O55" s="2"/>
      <c r="P55" s="40"/>
      <c r="R55" s="11">
        <v>1</v>
      </c>
      <c r="S55" s="1" t="s">
        <v>22</v>
      </c>
      <c r="T55" s="2">
        <v>9.0899999999999995E-2</v>
      </c>
      <c r="U55" s="2"/>
      <c r="V55" s="37"/>
      <c r="W55" s="2"/>
      <c r="X55" s="40"/>
    </row>
    <row r="56" spans="2:24" x14ac:dyDescent="0.35">
      <c r="B56" s="11">
        <v>1</v>
      </c>
      <c r="C56" s="1" t="s">
        <v>20</v>
      </c>
      <c r="D56" s="2">
        <v>62.492199999999997</v>
      </c>
      <c r="E56" s="2"/>
      <c r="F56" s="37"/>
      <c r="G56" s="2"/>
      <c r="H56" s="40"/>
      <c r="J56" s="11">
        <v>1</v>
      </c>
      <c r="K56" s="1" t="s">
        <v>21</v>
      </c>
      <c r="L56" s="2">
        <v>2.9449999999999998</v>
      </c>
      <c r="M56" s="2"/>
      <c r="N56" s="37"/>
      <c r="O56" s="2"/>
      <c r="P56" s="40"/>
      <c r="R56" s="11">
        <v>1</v>
      </c>
      <c r="S56" s="1" t="s">
        <v>22</v>
      </c>
      <c r="T56" s="2">
        <v>8.0799999999999997E-2</v>
      </c>
      <c r="U56" s="2"/>
      <c r="V56" s="37"/>
      <c r="W56" s="2"/>
      <c r="X56" s="40"/>
    </row>
    <row r="57" spans="2:24" x14ac:dyDescent="0.35">
      <c r="B57" s="11">
        <v>1</v>
      </c>
      <c r="C57" s="1" t="s">
        <v>20</v>
      </c>
      <c r="D57" s="2">
        <v>73.559899999999999</v>
      </c>
      <c r="E57" s="2"/>
      <c r="F57" s="37"/>
      <c r="G57" s="2"/>
      <c r="H57" s="40"/>
      <c r="J57" s="11">
        <v>1</v>
      </c>
      <c r="K57" s="1" t="s">
        <v>21</v>
      </c>
      <c r="L57" s="2">
        <v>2.3995000000000002</v>
      </c>
      <c r="M57" s="2"/>
      <c r="N57" s="37"/>
      <c r="O57" s="2"/>
      <c r="P57" s="40"/>
      <c r="R57" s="11">
        <v>1</v>
      </c>
      <c r="S57" s="1" t="s">
        <v>22</v>
      </c>
      <c r="T57" s="2">
        <v>9.4799999999999995E-2</v>
      </c>
      <c r="U57" s="2"/>
      <c r="V57" s="37"/>
      <c r="W57" s="2"/>
      <c r="X57" s="40"/>
    </row>
    <row r="58" spans="2:24" x14ac:dyDescent="0.35">
      <c r="B58" s="13">
        <v>1</v>
      </c>
      <c r="C58" s="14" t="s">
        <v>20</v>
      </c>
      <c r="D58" s="26">
        <v>65.607200000000006</v>
      </c>
      <c r="E58" s="26">
        <f>AVERAGE(D49:D58)</f>
        <v>65.397680000000008</v>
      </c>
      <c r="F58" s="36">
        <f>STDEV(D49:D58)</f>
        <v>5.6382727417771008</v>
      </c>
      <c r="G58" s="26">
        <f>((E58-80)/80)*100</f>
        <v>-18.25289999999999</v>
      </c>
      <c r="H58" s="41">
        <f>(F58/E58)*100</f>
        <v>8.6215179831717261</v>
      </c>
      <c r="J58" s="13">
        <v>1</v>
      </c>
      <c r="K58" s="14" t="s">
        <v>21</v>
      </c>
      <c r="L58" s="26">
        <v>1.9793000000000001</v>
      </c>
      <c r="M58" s="26">
        <f>AVERAGE(L49:L58)</f>
        <v>2.5308799999999998</v>
      </c>
      <c r="N58" s="36">
        <f>STDEV(L49:L58)</f>
        <v>0.46199153864305798</v>
      </c>
      <c r="O58" s="26">
        <f>((M58-3.2)/3.2)*100</f>
        <v>-20.910000000000011</v>
      </c>
      <c r="P58" s="41">
        <f>(N58/M58)*100</f>
        <v>18.254185842199472</v>
      </c>
      <c r="R58" s="13">
        <v>1</v>
      </c>
      <c r="S58" s="14" t="s">
        <v>22</v>
      </c>
      <c r="T58" s="26">
        <v>8.9899999999999994E-2</v>
      </c>
      <c r="U58" s="26">
        <f>AVERAGE(T49:T58)</f>
        <v>9.1679999999999998E-2</v>
      </c>
      <c r="V58" s="36">
        <f>STDEV(T49:T58)</f>
        <v>1.1430252257350603E-2</v>
      </c>
      <c r="W58" s="26">
        <f>((U58-0.1)/0.1)*100</f>
        <v>-8.3200000000000074</v>
      </c>
      <c r="X58" s="41">
        <f>(V58/U58)*100</f>
        <v>12.467552636726225</v>
      </c>
    </row>
    <row r="59" spans="2:24" x14ac:dyDescent="0.35">
      <c r="B59" s="6">
        <v>2</v>
      </c>
      <c r="C59" s="7" t="s">
        <v>20</v>
      </c>
      <c r="D59" s="28">
        <v>88.662899999999993</v>
      </c>
      <c r="E59" s="28"/>
      <c r="F59" s="38"/>
      <c r="G59" s="28"/>
      <c r="H59" s="39"/>
      <c r="J59" s="6">
        <v>2</v>
      </c>
      <c r="K59" s="7" t="s">
        <v>21</v>
      </c>
      <c r="L59" s="28">
        <v>2.6640000000000001</v>
      </c>
      <c r="M59" s="28"/>
      <c r="N59" s="38"/>
      <c r="O59" s="28"/>
      <c r="P59" s="39"/>
      <c r="R59" s="6">
        <v>2</v>
      </c>
      <c r="S59" s="7" t="s">
        <v>22</v>
      </c>
      <c r="T59" s="28">
        <v>8.8599999999999998E-2</v>
      </c>
      <c r="U59" s="28"/>
      <c r="V59" s="38"/>
      <c r="W59" s="28"/>
      <c r="X59" s="39"/>
    </row>
    <row r="60" spans="2:24" x14ac:dyDescent="0.35">
      <c r="B60" s="11">
        <v>2</v>
      </c>
      <c r="C60" s="1" t="s">
        <v>20</v>
      </c>
      <c r="D60" s="2">
        <v>65.331299999999999</v>
      </c>
      <c r="E60" s="2"/>
      <c r="F60" s="37"/>
      <c r="G60" s="2"/>
      <c r="H60" s="40"/>
      <c r="J60" s="11">
        <v>2</v>
      </c>
      <c r="K60" s="1" t="s">
        <v>21</v>
      </c>
      <c r="L60" s="2">
        <v>2.0617000000000001</v>
      </c>
      <c r="M60" s="2"/>
      <c r="N60" s="37"/>
      <c r="O60" s="2"/>
      <c r="P60" s="40"/>
      <c r="R60" s="11">
        <v>2</v>
      </c>
      <c r="S60" s="1" t="s">
        <v>22</v>
      </c>
      <c r="T60" s="2">
        <v>0.1008</v>
      </c>
      <c r="U60" s="2"/>
      <c r="V60" s="37"/>
      <c r="W60" s="2"/>
      <c r="X60" s="40"/>
    </row>
    <row r="61" spans="2:24" x14ac:dyDescent="0.35">
      <c r="B61" s="11">
        <v>2</v>
      </c>
      <c r="C61" s="1" t="s">
        <v>20</v>
      </c>
      <c r="D61" s="2">
        <v>68.757800000000003</v>
      </c>
      <c r="E61" s="2"/>
      <c r="F61" s="37"/>
      <c r="G61" s="2"/>
      <c r="H61" s="40"/>
      <c r="J61" s="11">
        <v>2</v>
      </c>
      <c r="K61" s="1" t="s">
        <v>21</v>
      </c>
      <c r="L61" s="2">
        <v>2.9927000000000001</v>
      </c>
      <c r="M61" s="2"/>
      <c r="N61" s="37"/>
      <c r="O61" s="2"/>
      <c r="P61" s="40"/>
      <c r="R61" s="11">
        <v>2</v>
      </c>
      <c r="S61" s="1" t="s">
        <v>22</v>
      </c>
      <c r="T61" s="2">
        <v>8.5599999999999996E-2</v>
      </c>
      <c r="U61" s="2"/>
      <c r="V61" s="37"/>
      <c r="W61" s="2"/>
      <c r="X61" s="40"/>
    </row>
    <row r="62" spans="2:24" x14ac:dyDescent="0.35">
      <c r="B62" s="11">
        <v>2</v>
      </c>
      <c r="C62" s="1" t="s">
        <v>20</v>
      </c>
      <c r="D62" s="2">
        <v>63.897199999999998</v>
      </c>
      <c r="E62" s="2"/>
      <c r="F62" s="37"/>
      <c r="G62" s="2"/>
      <c r="H62" s="40"/>
      <c r="J62" s="11">
        <v>2</v>
      </c>
      <c r="K62" s="1" t="s">
        <v>21</v>
      </c>
      <c r="L62" s="2">
        <v>3.0867</v>
      </c>
      <c r="M62" s="2"/>
      <c r="N62" s="37"/>
      <c r="O62" s="2"/>
      <c r="P62" s="40"/>
      <c r="R62" s="11">
        <v>2</v>
      </c>
      <c r="S62" s="1" t="s">
        <v>22</v>
      </c>
      <c r="T62" s="2">
        <v>0.1147</v>
      </c>
      <c r="U62" s="2"/>
      <c r="V62" s="37"/>
      <c r="W62" s="2"/>
      <c r="X62" s="40"/>
    </row>
    <row r="63" spans="2:24" x14ac:dyDescent="0.35">
      <c r="B63" s="11">
        <v>2</v>
      </c>
      <c r="C63" s="1" t="s">
        <v>20</v>
      </c>
      <c r="D63" s="2">
        <v>75.648899999999998</v>
      </c>
      <c r="E63" s="2"/>
      <c r="F63" s="37"/>
      <c r="G63" s="2"/>
      <c r="H63" s="40"/>
      <c r="J63" s="11">
        <v>2</v>
      </c>
      <c r="K63" s="1" t="s">
        <v>21</v>
      </c>
      <c r="L63" s="2">
        <v>2.5261</v>
      </c>
      <c r="M63" s="2"/>
      <c r="N63" s="37"/>
      <c r="O63" s="2"/>
      <c r="P63" s="40"/>
      <c r="R63" s="11">
        <v>2</v>
      </c>
      <c r="S63" s="1" t="s">
        <v>22</v>
      </c>
      <c r="T63" s="2">
        <v>9.5699999999999993E-2</v>
      </c>
      <c r="U63" s="2"/>
      <c r="V63" s="37"/>
      <c r="W63" s="2"/>
      <c r="X63" s="40"/>
    </row>
    <row r="64" spans="2:24" x14ac:dyDescent="0.35">
      <c r="B64" s="11">
        <v>2</v>
      </c>
      <c r="C64" s="1" t="s">
        <v>20</v>
      </c>
      <c r="D64" s="2">
        <v>61.040500000000002</v>
      </c>
      <c r="E64" s="2"/>
      <c r="F64" s="37"/>
      <c r="G64" s="2"/>
      <c r="H64" s="40"/>
      <c r="J64" s="11">
        <v>2</v>
      </c>
      <c r="K64" s="1" t="s">
        <v>21</v>
      </c>
      <c r="L64" s="2">
        <v>3.3664999999999998</v>
      </c>
      <c r="M64" s="2"/>
      <c r="N64" s="37"/>
      <c r="O64" s="2"/>
      <c r="P64" s="40"/>
      <c r="R64" s="11">
        <v>2</v>
      </c>
      <c r="S64" s="1" t="s">
        <v>22</v>
      </c>
      <c r="T64" s="2">
        <v>0.10440000000000001</v>
      </c>
      <c r="U64" s="2"/>
      <c r="V64" s="37"/>
      <c r="W64" s="2"/>
      <c r="X64" s="40"/>
    </row>
    <row r="65" spans="2:24" x14ac:dyDescent="0.35">
      <c r="B65" s="11">
        <v>2</v>
      </c>
      <c r="C65" s="1" t="s">
        <v>20</v>
      </c>
      <c r="D65" s="2">
        <v>85.903800000000004</v>
      </c>
      <c r="E65" s="2"/>
      <c r="F65" s="37"/>
      <c r="G65" s="2"/>
      <c r="H65" s="40"/>
      <c r="J65" s="11">
        <v>2</v>
      </c>
      <c r="K65" s="1" t="s">
        <v>21</v>
      </c>
      <c r="L65" s="2">
        <v>3.2574000000000001</v>
      </c>
      <c r="M65" s="2"/>
      <c r="N65" s="37"/>
      <c r="O65" s="2"/>
      <c r="P65" s="40"/>
      <c r="R65" s="11">
        <v>2</v>
      </c>
      <c r="S65" s="1" t="s">
        <v>22</v>
      </c>
      <c r="T65" s="2">
        <v>6.8400000000000002E-2</v>
      </c>
      <c r="U65" s="2"/>
      <c r="V65" s="37"/>
      <c r="W65" s="2"/>
      <c r="X65" s="40"/>
    </row>
    <row r="66" spans="2:24" x14ac:dyDescent="0.35">
      <c r="B66" s="11">
        <v>2</v>
      </c>
      <c r="C66" s="1" t="s">
        <v>20</v>
      </c>
      <c r="D66" s="2">
        <v>64.069299999999998</v>
      </c>
      <c r="E66" s="2"/>
      <c r="F66" s="37"/>
      <c r="G66" s="2"/>
      <c r="H66" s="40"/>
      <c r="J66" s="11">
        <v>2</v>
      </c>
      <c r="K66" s="1" t="s">
        <v>21</v>
      </c>
      <c r="L66" s="2">
        <v>3.2706</v>
      </c>
      <c r="M66" s="2"/>
      <c r="N66" s="37"/>
      <c r="O66" s="2"/>
      <c r="P66" s="40"/>
      <c r="R66" s="11">
        <v>2</v>
      </c>
      <c r="S66" s="1" t="s">
        <v>22</v>
      </c>
      <c r="T66" s="2">
        <v>8.2400000000000001E-2</v>
      </c>
      <c r="U66" s="2"/>
      <c r="V66" s="37"/>
      <c r="W66" s="2"/>
      <c r="X66" s="40"/>
    </row>
    <row r="67" spans="2:24" x14ac:dyDescent="0.35">
      <c r="B67" s="11">
        <v>2</v>
      </c>
      <c r="C67" s="1" t="s">
        <v>20</v>
      </c>
      <c r="D67" s="2">
        <v>71.6858</v>
      </c>
      <c r="E67" s="2"/>
      <c r="F67" s="37"/>
      <c r="G67" s="2"/>
      <c r="H67" s="40"/>
      <c r="J67" s="11">
        <v>2</v>
      </c>
      <c r="K67" s="1" t="s">
        <v>21</v>
      </c>
      <c r="L67" s="2">
        <v>2.6478999999999999</v>
      </c>
      <c r="M67" s="2"/>
      <c r="N67" s="37"/>
      <c r="O67" s="2"/>
      <c r="P67" s="40"/>
      <c r="R67" s="11">
        <v>2</v>
      </c>
      <c r="S67" s="1" t="s">
        <v>22</v>
      </c>
      <c r="T67" s="2">
        <v>8.5099999999999995E-2</v>
      </c>
      <c r="U67" s="2"/>
      <c r="V67" s="37"/>
      <c r="W67" s="2"/>
      <c r="X67" s="40"/>
    </row>
    <row r="68" spans="2:24" x14ac:dyDescent="0.35">
      <c r="B68" s="13">
        <v>2</v>
      </c>
      <c r="C68" s="14" t="s">
        <v>20</v>
      </c>
      <c r="D68" s="26">
        <v>71.157399999999996</v>
      </c>
      <c r="E68" s="26">
        <f>AVERAGE(D59:D68)</f>
        <v>71.615489999999994</v>
      </c>
      <c r="F68" s="36">
        <f>STDEV(D59:D68)</f>
        <v>9.3527061453357554</v>
      </c>
      <c r="G68" s="26">
        <f>((E68-80)/80)*100</f>
        <v>-10.480637500000007</v>
      </c>
      <c r="H68" s="41">
        <f>(F68/E68)*100</f>
        <v>13.059613423486674</v>
      </c>
      <c r="J68" s="13">
        <v>2</v>
      </c>
      <c r="K68" s="14" t="s">
        <v>21</v>
      </c>
      <c r="L68" s="26">
        <v>2.5158999999999998</v>
      </c>
      <c r="M68" s="26">
        <f>AVERAGE(L59:L68)</f>
        <v>2.8389499999999996</v>
      </c>
      <c r="N68" s="36">
        <f>STDEV(L59:L68)</f>
        <v>0.42140134538097174</v>
      </c>
      <c r="O68" s="26">
        <f>((M68-3.2)/3.2)*100</f>
        <v>-11.282812500000016</v>
      </c>
      <c r="P68" s="41">
        <f>(N68/M68)*100</f>
        <v>14.843563478785176</v>
      </c>
      <c r="R68" s="13">
        <v>2</v>
      </c>
      <c r="S68" s="14" t="s">
        <v>22</v>
      </c>
      <c r="T68" s="26">
        <v>8.8800000000000004E-2</v>
      </c>
      <c r="U68" s="26">
        <f>AVERAGE(T59:T68)</f>
        <v>9.1450000000000004E-2</v>
      </c>
      <c r="V68" s="36">
        <f>STDEV(T59:T68)</f>
        <v>1.2981375547726472E-2</v>
      </c>
      <c r="W68" s="26">
        <f>((U68-0.1)/0.1)*100</f>
        <v>-8.5500000000000025</v>
      </c>
      <c r="X68" s="41">
        <f>(V68/U68)*100</f>
        <v>14.19505253988679</v>
      </c>
    </row>
    <row r="69" spans="2:24" x14ac:dyDescent="0.35">
      <c r="B69" s="6">
        <v>3</v>
      </c>
      <c r="C69" s="7" t="s">
        <v>20</v>
      </c>
      <c r="D69" s="28">
        <v>69.839699999999993</v>
      </c>
      <c r="E69" s="28"/>
      <c r="F69" s="38"/>
      <c r="G69" s="28"/>
      <c r="H69" s="39"/>
      <c r="J69" s="6">
        <v>3</v>
      </c>
      <c r="K69" s="7" t="s">
        <v>21</v>
      </c>
      <c r="L69" s="28">
        <v>2.5011000000000001</v>
      </c>
      <c r="M69" s="28"/>
      <c r="N69" s="38"/>
      <c r="O69" s="28"/>
      <c r="P69" s="39"/>
      <c r="R69" s="6">
        <v>3</v>
      </c>
      <c r="S69" s="7" t="s">
        <v>22</v>
      </c>
      <c r="T69" s="28">
        <v>7.8E-2</v>
      </c>
      <c r="U69" s="28"/>
      <c r="V69" s="38"/>
      <c r="W69" s="28"/>
      <c r="X69" s="39"/>
    </row>
    <row r="70" spans="2:24" x14ac:dyDescent="0.35">
      <c r="B70" s="11">
        <v>3</v>
      </c>
      <c r="C70" s="1" t="s">
        <v>20</v>
      </c>
      <c r="D70" s="2">
        <v>64.789100000000005</v>
      </c>
      <c r="E70" s="2"/>
      <c r="F70" s="37"/>
      <c r="G70" s="2"/>
      <c r="H70" s="40"/>
      <c r="J70" s="11">
        <v>3</v>
      </c>
      <c r="K70" s="1" t="s">
        <v>21</v>
      </c>
      <c r="L70" s="2">
        <v>2.4270999999999998</v>
      </c>
      <c r="M70" s="2"/>
      <c r="N70" s="37"/>
      <c r="O70" s="2"/>
      <c r="P70" s="40"/>
      <c r="R70" s="11">
        <v>3</v>
      </c>
      <c r="S70" s="1" t="s">
        <v>22</v>
      </c>
      <c r="T70" s="2">
        <v>7.9600000000000004E-2</v>
      </c>
      <c r="U70" s="2"/>
      <c r="V70" s="37"/>
      <c r="W70" s="2"/>
      <c r="X70" s="40"/>
    </row>
    <row r="71" spans="2:24" x14ac:dyDescent="0.35">
      <c r="B71" s="11">
        <v>3</v>
      </c>
      <c r="C71" s="1" t="s">
        <v>20</v>
      </c>
      <c r="D71" s="2">
        <v>65.634600000000006</v>
      </c>
      <c r="E71" s="2"/>
      <c r="F71" s="37"/>
      <c r="G71" s="2"/>
      <c r="H71" s="40"/>
      <c r="J71" s="11">
        <v>3</v>
      </c>
      <c r="K71" s="1" t="s">
        <v>21</v>
      </c>
      <c r="L71" s="2">
        <v>2.6092</v>
      </c>
      <c r="M71" s="2"/>
      <c r="N71" s="37"/>
      <c r="O71" s="2"/>
      <c r="P71" s="40"/>
      <c r="R71" s="11">
        <v>3</v>
      </c>
      <c r="S71" s="1" t="s">
        <v>22</v>
      </c>
      <c r="T71" s="2">
        <v>7.5600000000000001E-2</v>
      </c>
      <c r="U71" s="2"/>
      <c r="V71" s="37"/>
      <c r="W71" s="2"/>
      <c r="X71" s="40"/>
    </row>
    <row r="72" spans="2:24" x14ac:dyDescent="0.35">
      <c r="B72" s="11">
        <v>3</v>
      </c>
      <c r="C72" s="1" t="s">
        <v>20</v>
      </c>
      <c r="D72" s="2">
        <v>63.519599999999997</v>
      </c>
      <c r="E72" s="2"/>
      <c r="F72" s="37"/>
      <c r="G72" s="2"/>
      <c r="H72" s="40"/>
      <c r="J72" s="11">
        <v>3</v>
      </c>
      <c r="K72" s="1" t="s">
        <v>21</v>
      </c>
      <c r="L72" s="2">
        <v>2.5268000000000002</v>
      </c>
      <c r="M72" s="2"/>
      <c r="N72" s="37"/>
      <c r="O72" s="2"/>
      <c r="P72" s="40"/>
      <c r="R72" s="11">
        <v>3</v>
      </c>
      <c r="S72" s="1" t="s">
        <v>22</v>
      </c>
      <c r="T72" s="2">
        <v>8.0600000000000005E-2</v>
      </c>
      <c r="U72" s="2"/>
      <c r="V72" s="37"/>
      <c r="W72" s="2"/>
      <c r="X72" s="40"/>
    </row>
    <row r="73" spans="2:24" x14ac:dyDescent="0.35">
      <c r="B73" s="11">
        <v>3</v>
      </c>
      <c r="C73" s="1" t="s">
        <v>20</v>
      </c>
      <c r="D73" s="2">
        <v>67.221100000000007</v>
      </c>
      <c r="E73" s="2"/>
      <c r="F73" s="37"/>
      <c r="G73" s="2"/>
      <c r="H73" s="40"/>
      <c r="J73" s="11">
        <v>3</v>
      </c>
      <c r="K73" s="1" t="s">
        <v>21</v>
      </c>
      <c r="L73" s="2">
        <v>2.5182000000000002</v>
      </c>
      <c r="M73" s="2"/>
      <c r="N73" s="37"/>
      <c r="O73" s="2"/>
      <c r="P73" s="40"/>
      <c r="R73" s="11">
        <v>3</v>
      </c>
      <c r="S73" s="1" t="s">
        <v>22</v>
      </c>
      <c r="T73" s="2">
        <v>8.9099999999999999E-2</v>
      </c>
      <c r="U73" s="2"/>
      <c r="V73" s="37"/>
      <c r="W73" s="2"/>
      <c r="X73" s="40"/>
    </row>
    <row r="74" spans="2:24" x14ac:dyDescent="0.35">
      <c r="B74" s="11">
        <v>3</v>
      </c>
      <c r="C74" s="1" t="s">
        <v>20</v>
      </c>
      <c r="D74" s="2">
        <v>64.085599999999999</v>
      </c>
      <c r="E74" s="2"/>
      <c r="F74" s="37"/>
      <c r="G74" s="2"/>
      <c r="H74" s="40"/>
      <c r="J74" s="11">
        <v>3</v>
      </c>
      <c r="K74" s="1" t="s">
        <v>21</v>
      </c>
      <c r="L74" s="2">
        <v>2.5844</v>
      </c>
      <c r="M74" s="2"/>
      <c r="N74" s="37"/>
      <c r="O74" s="2"/>
      <c r="P74" s="40"/>
      <c r="R74" s="11">
        <v>3</v>
      </c>
      <c r="S74" s="1" t="s">
        <v>22</v>
      </c>
      <c r="T74" s="2">
        <v>9.5000000000000001E-2</v>
      </c>
      <c r="U74" s="2"/>
      <c r="V74" s="37"/>
      <c r="W74" s="2"/>
      <c r="X74" s="40"/>
    </row>
    <row r="75" spans="2:24" x14ac:dyDescent="0.35">
      <c r="B75" s="11">
        <v>3</v>
      </c>
      <c r="C75" s="1" t="s">
        <v>20</v>
      </c>
      <c r="D75" s="2">
        <v>69.081299999999999</v>
      </c>
      <c r="E75" s="2"/>
      <c r="F75" s="37"/>
      <c r="G75" s="2"/>
      <c r="H75" s="40"/>
      <c r="J75" s="11">
        <v>3</v>
      </c>
      <c r="K75" s="1" t="s">
        <v>21</v>
      </c>
      <c r="L75" s="2">
        <v>2.3170999999999999</v>
      </c>
      <c r="M75" s="2"/>
      <c r="N75" s="37"/>
      <c r="O75" s="2"/>
      <c r="P75" s="40"/>
      <c r="R75" s="11">
        <v>3</v>
      </c>
      <c r="S75" s="1" t="s">
        <v>22</v>
      </c>
      <c r="T75" s="2">
        <v>8.3599999999999994E-2</v>
      </c>
      <c r="U75" s="2"/>
      <c r="V75" s="37"/>
      <c r="W75" s="2"/>
      <c r="X75" s="40"/>
    </row>
    <row r="76" spans="2:24" x14ac:dyDescent="0.35">
      <c r="B76" s="11">
        <v>3</v>
      </c>
      <c r="C76" s="1" t="s">
        <v>20</v>
      </c>
      <c r="D76" s="2">
        <v>65.455699999999993</v>
      </c>
      <c r="E76" s="2"/>
      <c r="F76" s="37"/>
      <c r="G76" s="2"/>
      <c r="H76" s="40"/>
      <c r="J76" s="11">
        <v>3</v>
      </c>
      <c r="K76" s="1" t="s">
        <v>21</v>
      </c>
      <c r="L76" s="2">
        <v>2.4538000000000002</v>
      </c>
      <c r="M76" s="2"/>
      <c r="N76" s="37"/>
      <c r="O76" s="2"/>
      <c r="P76" s="40"/>
      <c r="R76" s="11">
        <v>3</v>
      </c>
      <c r="S76" s="1" t="s">
        <v>22</v>
      </c>
      <c r="T76" s="2">
        <v>8.6599999999999996E-2</v>
      </c>
      <c r="U76" s="2"/>
      <c r="V76" s="37"/>
      <c r="W76" s="2"/>
      <c r="X76" s="40"/>
    </row>
    <row r="77" spans="2:24" x14ac:dyDescent="0.35">
      <c r="B77" s="11">
        <v>3</v>
      </c>
      <c r="C77" s="1" t="s">
        <v>20</v>
      </c>
      <c r="D77" s="2">
        <v>63.8673</v>
      </c>
      <c r="E77" s="2"/>
      <c r="F77" s="37"/>
      <c r="G77" s="2"/>
      <c r="H77" s="40"/>
      <c r="J77" s="11">
        <v>3</v>
      </c>
      <c r="K77" s="1" t="s">
        <v>21</v>
      </c>
      <c r="L77" s="2">
        <v>2.6979000000000002</v>
      </c>
      <c r="M77" s="2"/>
      <c r="N77" s="37"/>
      <c r="O77" s="2"/>
      <c r="P77" s="40"/>
      <c r="R77" s="11">
        <v>3</v>
      </c>
      <c r="S77" s="1" t="s">
        <v>22</v>
      </c>
      <c r="T77" s="2">
        <v>0.114</v>
      </c>
      <c r="U77" s="2"/>
      <c r="V77" s="37"/>
      <c r="W77" s="2"/>
      <c r="X77" s="40"/>
    </row>
    <row r="78" spans="2:24" x14ac:dyDescent="0.35">
      <c r="B78" s="13">
        <v>3</v>
      </c>
      <c r="C78" s="14" t="s">
        <v>20</v>
      </c>
      <c r="D78" s="26">
        <v>62.147500000000001</v>
      </c>
      <c r="E78" s="26">
        <f>AVERAGE(D69:D78)</f>
        <v>65.564150000000012</v>
      </c>
      <c r="F78" s="36">
        <f>STDEV(D69:D78)</f>
        <v>2.470552666127785</v>
      </c>
      <c r="G78" s="26">
        <f>((E78-80)/80)*100</f>
        <v>-18.044812499999985</v>
      </c>
      <c r="H78" s="41">
        <f>(F78/E78)*100</f>
        <v>3.7681456499135346</v>
      </c>
      <c r="J78" s="13">
        <v>3</v>
      </c>
      <c r="K78" s="14" t="s">
        <v>21</v>
      </c>
      <c r="L78" s="26">
        <v>2.2949999999999999</v>
      </c>
      <c r="M78" s="26">
        <f>AVERAGE(L69:L78)</f>
        <v>2.4930599999999998</v>
      </c>
      <c r="N78" s="36">
        <f>STDEV(L69:L78)</f>
        <v>0.12548028796056648</v>
      </c>
      <c r="O78" s="26">
        <f>((M78-3.2)/3.2)*100</f>
        <v>-22.091875000000012</v>
      </c>
      <c r="P78" s="41">
        <f>(N78/M78)*100</f>
        <v>5.0331836361967417</v>
      </c>
      <c r="R78" s="13">
        <v>3</v>
      </c>
      <c r="S78" s="14" t="s">
        <v>22</v>
      </c>
      <c r="T78" s="26">
        <v>7.4800000000000005E-2</v>
      </c>
      <c r="U78" s="26">
        <f>AVERAGE(T69:T78)</f>
        <v>8.5690000000000002E-2</v>
      </c>
      <c r="V78" s="36">
        <f>STDEV(T69:T78)</f>
        <v>1.177327010175541E-2</v>
      </c>
      <c r="W78" s="26">
        <f>((U78-0.1)/0.1)*100</f>
        <v>-14.310000000000004</v>
      </c>
      <c r="X78" s="41">
        <f>(V78/U78)*100</f>
        <v>13.739374608186964</v>
      </c>
    </row>
    <row r="79" spans="2:24" x14ac:dyDescent="0.35">
      <c r="B79" s="43" t="s">
        <v>11</v>
      </c>
      <c r="C79" s="44"/>
      <c r="D79" s="44"/>
      <c r="E79" s="48"/>
      <c r="F79" s="48"/>
      <c r="G79" s="48">
        <f>AVERAGE(G58,G68,G78)</f>
        <v>-15.592783333333328</v>
      </c>
      <c r="H79" s="48">
        <f>AVERAGE(H78,H68,H58)</f>
        <v>8.4830923521906456</v>
      </c>
      <c r="J79" s="43" t="s">
        <v>11</v>
      </c>
      <c r="K79" s="44"/>
      <c r="L79" s="44"/>
      <c r="M79" s="48"/>
      <c r="N79" s="48"/>
      <c r="O79" s="48">
        <f>AVERAGE(O58,O68,O78)</f>
        <v>-18.09489583333335</v>
      </c>
      <c r="P79" s="48">
        <f>AVERAGE(P78,P68,P58)</f>
        <v>12.710310985727128</v>
      </c>
      <c r="R79" s="43" t="s">
        <v>11</v>
      </c>
      <c r="S79" s="44"/>
      <c r="T79" s="44"/>
      <c r="U79" s="48"/>
      <c r="V79" s="48"/>
      <c r="W79" s="48">
        <f>AVERAGE(W58,W68,W78)</f>
        <v>-10.393333333333338</v>
      </c>
      <c r="X79" s="48">
        <f>AVERAGE(X78,X68,X58)</f>
        <v>13.467326594933326</v>
      </c>
    </row>
    <row r="80" spans="2:24" x14ac:dyDescent="0.35">
      <c r="B80" t="s">
        <v>12</v>
      </c>
      <c r="E80" s="2">
        <f>AVERAGE(E78,E68,E58)</f>
        <v>67.525773333333333</v>
      </c>
      <c r="F80" s="2">
        <f>STDEV(E58,E68,E78)</f>
        <v>3.5427764359938472</v>
      </c>
      <c r="G80" s="2">
        <f>((E80-80)/80)*100</f>
        <v>-15.592783333333331</v>
      </c>
      <c r="H80" s="2">
        <f>(F80/E80)*100</f>
        <v>5.2465544059826348</v>
      </c>
      <c r="J80" t="s">
        <v>12</v>
      </c>
      <c r="M80" s="2">
        <f>AVERAGE(M78,M68,M58)</f>
        <v>2.6209633333333331</v>
      </c>
      <c r="N80" s="2">
        <f>STDEV(M58,M68,M78)</f>
        <v>0.18972671987185485</v>
      </c>
      <c r="O80" s="2">
        <f>((M80-3.2)/3.2)*100</f>
        <v>-18.094895833333347</v>
      </c>
      <c r="P80" s="2">
        <f>(N80/M80)*100</f>
        <v>7.2388162573247827</v>
      </c>
      <c r="R80" t="s">
        <v>12</v>
      </c>
      <c r="U80" s="2">
        <f>AVERAGE(U78,U68,U58)</f>
        <v>8.9606666666666668E-2</v>
      </c>
      <c r="V80" s="2">
        <f>STDEV(U58,U68,U78)</f>
        <v>3.3938817500516021E-3</v>
      </c>
      <c r="W80" s="2">
        <f>((U80-0.1)/0.1)*100</f>
        <v>-10.393333333333338</v>
      </c>
      <c r="X80" s="2">
        <f>(V80/U80)*100</f>
        <v>3.7875326427181033</v>
      </c>
    </row>
    <row r="81" spans="2:24" x14ac:dyDescent="0.35">
      <c r="B81" s="44" t="s">
        <v>13</v>
      </c>
      <c r="C81" s="44"/>
      <c r="D81" s="44"/>
      <c r="E81" s="48">
        <f>AVERAGE(D49:D78)</f>
        <v>67.525773333333348</v>
      </c>
      <c r="F81" s="48">
        <f>STDEV(D49:D78)</f>
        <v>6.8965935058390677</v>
      </c>
      <c r="G81" s="48">
        <f>((E81-80)/80)*100</f>
        <v>-15.592783333333315</v>
      </c>
      <c r="H81" s="48">
        <f>(F81/E81)*100</f>
        <v>10.21327585808579</v>
      </c>
      <c r="J81" s="44" t="s">
        <v>13</v>
      </c>
      <c r="K81" s="44"/>
      <c r="L81" s="44"/>
      <c r="M81" s="48">
        <f>AVERAGE(L49:L78)</f>
        <v>2.620963333333334</v>
      </c>
      <c r="N81" s="48">
        <f>STDEV(L49:L78)</f>
        <v>0.38866570023636904</v>
      </c>
      <c r="O81" s="48">
        <f>((M81-3.2)/3.2)*100</f>
        <v>-18.094895833333318</v>
      </c>
      <c r="P81" s="48">
        <f>(N81/M81)*100</f>
        <v>14.82911627542935</v>
      </c>
      <c r="R81" s="44" t="s">
        <v>13</v>
      </c>
      <c r="S81" s="44"/>
      <c r="T81" s="44"/>
      <c r="U81" s="48">
        <f>AVERAGE(T49:T78)</f>
        <v>8.9606666666666668E-2</v>
      </c>
      <c r="V81" s="48">
        <f>STDEV(T49:T78)</f>
        <v>1.1991891896792863E-2</v>
      </c>
      <c r="W81" s="48">
        <f>((U81-0.1)/0.1)*100</f>
        <v>-10.393333333333338</v>
      </c>
      <c r="X81" s="48">
        <f>(V81/U81)*100</f>
        <v>13.382812175574211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76A1-F91A-48C1-BCAD-1333CCE54E38}">
  <dimension ref="A1:M346"/>
  <sheetViews>
    <sheetView workbookViewId="0">
      <selection activeCell="C38" sqref="C38"/>
    </sheetView>
  </sheetViews>
  <sheetFormatPr defaultRowHeight="14.5" x14ac:dyDescent="0.35"/>
  <cols>
    <col min="1" max="1" width="29.26953125" customWidth="1"/>
    <col min="2" max="2" width="10.1796875" customWidth="1"/>
    <col min="3" max="3" width="27.54296875" customWidth="1"/>
    <col min="5" max="5" width="8.81640625" customWidth="1"/>
    <col min="7" max="7" width="9.81640625" customWidth="1"/>
    <col min="8" max="8" width="13.453125" customWidth="1"/>
    <col min="9" max="9" width="15" customWidth="1"/>
    <col min="10" max="10" width="31.81640625" customWidth="1"/>
    <col min="11" max="11" width="35.81640625" customWidth="1"/>
    <col min="12" max="12" width="26.1796875" customWidth="1"/>
    <col min="13" max="13" width="10.1796875" customWidth="1"/>
  </cols>
  <sheetData>
    <row r="1" spans="1:13" x14ac:dyDescent="0.35">
      <c r="A1" t="s">
        <v>42</v>
      </c>
      <c r="B1" t="s">
        <v>1</v>
      </c>
      <c r="C1" t="s">
        <v>5</v>
      </c>
      <c r="D1" t="s">
        <v>2</v>
      </c>
      <c r="E1" t="s">
        <v>3</v>
      </c>
      <c r="F1" t="s">
        <v>41</v>
      </c>
      <c r="G1" t="s">
        <v>40</v>
      </c>
      <c r="H1" t="s">
        <v>39</v>
      </c>
      <c r="I1" t="s">
        <v>38</v>
      </c>
      <c r="J1" t="s">
        <v>4</v>
      </c>
      <c r="K1" t="s">
        <v>6</v>
      </c>
      <c r="L1" t="s">
        <v>37</v>
      </c>
      <c r="M1" t="s">
        <v>36</v>
      </c>
    </row>
    <row r="2" spans="1:13" x14ac:dyDescent="0.35">
      <c r="A2" t="s">
        <v>35</v>
      </c>
      <c r="B2">
        <v>1</v>
      </c>
      <c r="C2" t="s">
        <v>0</v>
      </c>
      <c r="D2">
        <v>10</v>
      </c>
      <c r="E2">
        <v>10</v>
      </c>
      <c r="F2">
        <v>21.9</v>
      </c>
      <c r="G2">
        <v>21.852</v>
      </c>
      <c r="H2">
        <v>82.99</v>
      </c>
      <c r="I2">
        <v>85.94</v>
      </c>
      <c r="J2">
        <v>82.978899999999996</v>
      </c>
      <c r="K2">
        <v>85.753100000000003</v>
      </c>
    </row>
    <row r="3" spans="1:13" x14ac:dyDescent="0.35">
      <c r="A3" t="s">
        <v>35</v>
      </c>
      <c r="B3">
        <v>1</v>
      </c>
      <c r="C3" t="s">
        <v>15</v>
      </c>
      <c r="D3">
        <v>11</v>
      </c>
      <c r="E3">
        <v>10</v>
      </c>
      <c r="F3">
        <v>24.012</v>
      </c>
      <c r="G3">
        <v>24.151499999999999</v>
      </c>
      <c r="H3">
        <v>19.52</v>
      </c>
      <c r="I3">
        <v>17.86</v>
      </c>
      <c r="J3">
        <v>19.523499999999999</v>
      </c>
      <c r="K3">
        <v>17.744</v>
      </c>
    </row>
    <row r="4" spans="1:13" x14ac:dyDescent="0.35">
      <c r="A4" t="s">
        <v>35</v>
      </c>
      <c r="B4">
        <v>1</v>
      </c>
      <c r="C4" t="s">
        <v>22</v>
      </c>
      <c r="D4">
        <v>13</v>
      </c>
      <c r="E4">
        <v>1</v>
      </c>
      <c r="F4">
        <v>28.849</v>
      </c>
      <c r="G4">
        <v>28.486799999999999</v>
      </c>
      <c r="H4">
        <v>7.0000000000000007E-2</v>
      </c>
      <c r="I4">
        <v>0.09</v>
      </c>
      <c r="J4">
        <v>7.0999999999999994E-2</v>
      </c>
      <c r="K4">
        <v>9.0999999999999998E-2</v>
      </c>
    </row>
    <row r="5" spans="1:13" x14ac:dyDescent="0.35">
      <c r="A5" t="s">
        <v>35</v>
      </c>
      <c r="B5">
        <v>1</v>
      </c>
      <c r="C5" t="s">
        <v>21</v>
      </c>
      <c r="D5">
        <v>14</v>
      </c>
      <c r="E5">
        <v>1</v>
      </c>
      <c r="F5">
        <v>23.835999999999999</v>
      </c>
      <c r="G5">
        <v>23.6554</v>
      </c>
      <c r="H5">
        <v>2.2000000000000002</v>
      </c>
      <c r="I5">
        <v>2.5299999999999998</v>
      </c>
      <c r="J5">
        <v>2.2025000000000001</v>
      </c>
      <c r="K5">
        <v>2.4927000000000001</v>
      </c>
    </row>
    <row r="6" spans="1:13" x14ac:dyDescent="0.35">
      <c r="A6" t="s">
        <v>35</v>
      </c>
      <c r="B6">
        <v>1</v>
      </c>
      <c r="C6" t="s">
        <v>32</v>
      </c>
      <c r="D6">
        <v>1</v>
      </c>
      <c r="E6">
        <v>1</v>
      </c>
      <c r="F6">
        <v>13.872999999999999</v>
      </c>
      <c r="G6">
        <v>13.8505</v>
      </c>
      <c r="H6">
        <v>2028.96</v>
      </c>
      <c r="I6">
        <v>2061.1</v>
      </c>
      <c r="J6">
        <v>2029.2808</v>
      </c>
      <c r="K6">
        <v>2060.8047999999999</v>
      </c>
    </row>
    <row r="7" spans="1:13" x14ac:dyDescent="0.35">
      <c r="A7" t="s">
        <v>35</v>
      </c>
      <c r="B7">
        <v>1</v>
      </c>
      <c r="C7" t="s">
        <v>32</v>
      </c>
      <c r="D7">
        <v>1</v>
      </c>
      <c r="E7">
        <v>1</v>
      </c>
      <c r="F7">
        <v>13.827999999999999</v>
      </c>
      <c r="G7">
        <v>13.8505</v>
      </c>
      <c r="H7">
        <v>2093.23</v>
      </c>
      <c r="I7">
        <v>2061.1</v>
      </c>
      <c r="J7">
        <v>2092.8184999999999</v>
      </c>
      <c r="K7">
        <v>2060.8047999999999</v>
      </c>
    </row>
    <row r="8" spans="1:13" x14ac:dyDescent="0.35">
      <c r="A8" t="s">
        <v>35</v>
      </c>
      <c r="B8">
        <v>1</v>
      </c>
      <c r="C8" t="s">
        <v>19</v>
      </c>
      <c r="D8">
        <v>16</v>
      </c>
      <c r="E8">
        <v>10</v>
      </c>
      <c r="F8">
        <v>27.396999999999998</v>
      </c>
      <c r="G8">
        <v>27.616199999999999</v>
      </c>
      <c r="H8">
        <v>1.92</v>
      </c>
      <c r="I8">
        <v>1.67</v>
      </c>
      <c r="J8">
        <v>1.9202999999999999</v>
      </c>
      <c r="K8">
        <v>1.6526000000000001</v>
      </c>
    </row>
    <row r="9" spans="1:13" x14ac:dyDescent="0.35">
      <c r="A9" t="s">
        <v>35</v>
      </c>
      <c r="B9">
        <v>1</v>
      </c>
      <c r="C9" t="s">
        <v>0</v>
      </c>
      <c r="D9">
        <v>10</v>
      </c>
      <c r="E9">
        <v>10</v>
      </c>
      <c r="F9">
        <v>21.797000000000001</v>
      </c>
      <c r="G9">
        <v>21.852</v>
      </c>
      <c r="H9">
        <v>89.05</v>
      </c>
      <c r="I9">
        <v>85.94</v>
      </c>
      <c r="J9">
        <v>89.046099999999996</v>
      </c>
      <c r="K9">
        <v>85.753100000000003</v>
      </c>
    </row>
    <row r="10" spans="1:13" x14ac:dyDescent="0.35">
      <c r="A10" t="s">
        <v>35</v>
      </c>
      <c r="B10">
        <v>1</v>
      </c>
      <c r="C10" t="s">
        <v>15</v>
      </c>
      <c r="D10">
        <v>11</v>
      </c>
      <c r="E10">
        <v>10</v>
      </c>
      <c r="F10">
        <v>23.876000000000001</v>
      </c>
      <c r="G10">
        <v>24.151499999999999</v>
      </c>
      <c r="H10">
        <v>21.43</v>
      </c>
      <c r="I10">
        <v>17.86</v>
      </c>
      <c r="J10">
        <v>21.430099999999999</v>
      </c>
      <c r="K10">
        <v>17.744</v>
      </c>
    </row>
    <row r="11" spans="1:13" x14ac:dyDescent="0.35">
      <c r="A11" t="s">
        <v>35</v>
      </c>
      <c r="B11">
        <v>1</v>
      </c>
      <c r="C11" t="s">
        <v>22</v>
      </c>
      <c r="D11">
        <v>13</v>
      </c>
      <c r="E11">
        <v>1</v>
      </c>
      <c r="F11">
        <v>28.626999999999999</v>
      </c>
      <c r="G11">
        <v>28.486799999999999</v>
      </c>
      <c r="H11">
        <v>0.08</v>
      </c>
      <c r="I11">
        <v>0.09</v>
      </c>
      <c r="J11">
        <v>8.2699999999999996E-2</v>
      </c>
      <c r="K11">
        <v>9.0999999999999998E-2</v>
      </c>
    </row>
    <row r="12" spans="1:13" x14ac:dyDescent="0.35">
      <c r="A12" t="s">
        <v>35</v>
      </c>
      <c r="B12">
        <v>1</v>
      </c>
      <c r="C12" t="s">
        <v>21</v>
      </c>
      <c r="D12">
        <v>14</v>
      </c>
      <c r="E12">
        <v>1</v>
      </c>
      <c r="F12">
        <v>24.071000000000002</v>
      </c>
      <c r="G12">
        <v>23.6554</v>
      </c>
      <c r="H12">
        <v>1.87</v>
      </c>
      <c r="I12">
        <v>2.5299999999999998</v>
      </c>
      <c r="J12">
        <v>1.875</v>
      </c>
      <c r="K12">
        <v>2.4927000000000001</v>
      </c>
    </row>
    <row r="13" spans="1:13" x14ac:dyDescent="0.35">
      <c r="A13" t="s">
        <v>35</v>
      </c>
      <c r="B13">
        <v>1</v>
      </c>
      <c r="C13" t="s">
        <v>19</v>
      </c>
      <c r="D13">
        <v>16</v>
      </c>
      <c r="E13">
        <v>10</v>
      </c>
      <c r="F13">
        <v>27.765000000000001</v>
      </c>
      <c r="G13">
        <v>27.616199999999999</v>
      </c>
      <c r="H13">
        <v>1.49</v>
      </c>
      <c r="I13">
        <v>1.67</v>
      </c>
      <c r="J13">
        <v>1.4923999999999999</v>
      </c>
      <c r="K13">
        <v>1.6526000000000001</v>
      </c>
    </row>
    <row r="14" spans="1:13" x14ac:dyDescent="0.35">
      <c r="A14" t="s">
        <v>35</v>
      </c>
      <c r="B14">
        <v>1</v>
      </c>
      <c r="C14" t="s">
        <v>0</v>
      </c>
      <c r="D14">
        <v>10</v>
      </c>
      <c r="E14">
        <v>10</v>
      </c>
      <c r="F14">
        <v>21.968</v>
      </c>
      <c r="G14">
        <v>21.852</v>
      </c>
      <c r="H14">
        <v>79.180000000000007</v>
      </c>
      <c r="I14">
        <v>85.94</v>
      </c>
      <c r="J14">
        <v>79.201800000000006</v>
      </c>
      <c r="K14">
        <v>85.753100000000003</v>
      </c>
    </row>
    <row r="15" spans="1:13" x14ac:dyDescent="0.35">
      <c r="A15" t="s">
        <v>35</v>
      </c>
      <c r="B15">
        <v>1</v>
      </c>
      <c r="C15" t="s">
        <v>15</v>
      </c>
      <c r="D15">
        <v>11</v>
      </c>
      <c r="E15">
        <v>10</v>
      </c>
      <c r="F15">
        <v>24.021000000000001</v>
      </c>
      <c r="G15">
        <v>24.151499999999999</v>
      </c>
      <c r="H15">
        <v>19.399999999999999</v>
      </c>
      <c r="I15">
        <v>17.86</v>
      </c>
      <c r="J15">
        <v>19.403500000000001</v>
      </c>
      <c r="K15">
        <v>17.744</v>
      </c>
    </row>
    <row r="16" spans="1:13" x14ac:dyDescent="0.35">
      <c r="A16" t="s">
        <v>35</v>
      </c>
      <c r="B16">
        <v>1</v>
      </c>
      <c r="C16" t="s">
        <v>22</v>
      </c>
      <c r="D16">
        <v>13</v>
      </c>
      <c r="E16">
        <v>1</v>
      </c>
      <c r="F16">
        <v>28.312000000000001</v>
      </c>
      <c r="G16">
        <v>28.486799999999999</v>
      </c>
      <c r="H16">
        <v>0.1</v>
      </c>
      <c r="I16">
        <v>0.09</v>
      </c>
      <c r="J16">
        <v>0.1026</v>
      </c>
      <c r="K16">
        <v>9.0999999999999998E-2</v>
      </c>
    </row>
    <row r="17" spans="1:11" x14ac:dyDescent="0.35">
      <c r="A17" t="s">
        <v>35</v>
      </c>
      <c r="B17">
        <v>1</v>
      </c>
      <c r="C17" t="s">
        <v>21</v>
      </c>
      <c r="D17">
        <v>14</v>
      </c>
      <c r="E17">
        <v>1</v>
      </c>
      <c r="F17">
        <v>23.524999999999999</v>
      </c>
      <c r="G17">
        <v>23.6554</v>
      </c>
      <c r="H17">
        <v>2.72</v>
      </c>
      <c r="I17">
        <v>2.5299999999999998</v>
      </c>
      <c r="J17">
        <v>2.7256</v>
      </c>
      <c r="K17">
        <v>2.4927000000000001</v>
      </c>
    </row>
    <row r="18" spans="1:11" x14ac:dyDescent="0.35">
      <c r="A18" t="s">
        <v>35</v>
      </c>
      <c r="B18">
        <v>1</v>
      </c>
      <c r="C18" t="s">
        <v>31</v>
      </c>
      <c r="D18">
        <v>2</v>
      </c>
      <c r="E18">
        <v>1</v>
      </c>
      <c r="F18">
        <v>16.274000000000001</v>
      </c>
      <c r="G18">
        <v>16.213000000000001</v>
      </c>
      <c r="H18">
        <v>391.76</v>
      </c>
      <c r="I18">
        <v>408.79</v>
      </c>
      <c r="J18">
        <v>391.69</v>
      </c>
      <c r="K18">
        <v>408.40640000000002</v>
      </c>
    </row>
    <row r="19" spans="1:11" x14ac:dyDescent="0.35">
      <c r="A19" t="s">
        <v>35</v>
      </c>
      <c r="B19">
        <v>1</v>
      </c>
      <c r="C19" t="s">
        <v>31</v>
      </c>
      <c r="D19">
        <v>2</v>
      </c>
      <c r="E19">
        <v>1</v>
      </c>
      <c r="F19">
        <v>16.152000000000001</v>
      </c>
      <c r="G19">
        <v>16.213000000000001</v>
      </c>
      <c r="H19">
        <v>425.82</v>
      </c>
      <c r="I19">
        <v>408.79</v>
      </c>
      <c r="J19">
        <v>425.83629999999999</v>
      </c>
      <c r="K19">
        <v>408.40640000000002</v>
      </c>
    </row>
    <row r="20" spans="1:11" x14ac:dyDescent="0.35">
      <c r="A20" t="s">
        <v>35</v>
      </c>
      <c r="B20">
        <v>1</v>
      </c>
      <c r="C20" t="s">
        <v>19</v>
      </c>
      <c r="D20">
        <v>16</v>
      </c>
      <c r="E20">
        <v>10</v>
      </c>
      <c r="F20">
        <v>27.393000000000001</v>
      </c>
      <c r="G20">
        <v>27.616199999999999</v>
      </c>
      <c r="H20">
        <v>1.93</v>
      </c>
      <c r="I20">
        <v>1.67</v>
      </c>
      <c r="J20">
        <v>1.9256</v>
      </c>
      <c r="K20">
        <v>1.6526000000000001</v>
      </c>
    </row>
    <row r="21" spans="1:11" x14ac:dyDescent="0.35">
      <c r="A21" t="s">
        <v>35</v>
      </c>
      <c r="B21">
        <v>1</v>
      </c>
      <c r="C21" t="s">
        <v>0</v>
      </c>
      <c r="D21">
        <v>10</v>
      </c>
      <c r="E21">
        <v>10</v>
      </c>
      <c r="F21">
        <v>21.869</v>
      </c>
      <c r="G21">
        <v>21.852</v>
      </c>
      <c r="H21">
        <v>84.73</v>
      </c>
      <c r="I21">
        <v>85.94</v>
      </c>
      <c r="J21">
        <v>84.760199999999998</v>
      </c>
      <c r="K21">
        <v>85.753100000000003</v>
      </c>
    </row>
    <row r="22" spans="1:11" x14ac:dyDescent="0.35">
      <c r="A22" t="s">
        <v>35</v>
      </c>
      <c r="B22">
        <v>1</v>
      </c>
      <c r="C22" t="s">
        <v>15</v>
      </c>
      <c r="D22">
        <v>11</v>
      </c>
      <c r="E22">
        <v>10</v>
      </c>
      <c r="F22">
        <v>23.946000000000002</v>
      </c>
      <c r="G22">
        <v>24.151499999999999</v>
      </c>
      <c r="H22">
        <v>20.43</v>
      </c>
      <c r="I22">
        <v>17.86</v>
      </c>
      <c r="J22">
        <v>20.426600000000001</v>
      </c>
      <c r="K22">
        <v>17.744</v>
      </c>
    </row>
    <row r="23" spans="1:11" x14ac:dyDescent="0.35">
      <c r="A23" t="s">
        <v>35</v>
      </c>
      <c r="B23">
        <v>1</v>
      </c>
      <c r="C23" t="s">
        <v>22</v>
      </c>
      <c r="D23">
        <v>13</v>
      </c>
      <c r="E23">
        <v>1</v>
      </c>
      <c r="F23">
        <v>28.2</v>
      </c>
      <c r="G23">
        <v>28.486799999999999</v>
      </c>
      <c r="H23">
        <v>0.11</v>
      </c>
      <c r="I23">
        <v>0.09</v>
      </c>
      <c r="J23">
        <v>0.1108</v>
      </c>
      <c r="K23">
        <v>9.0999999999999998E-2</v>
      </c>
    </row>
    <row r="24" spans="1:11" x14ac:dyDescent="0.35">
      <c r="A24" t="s">
        <v>35</v>
      </c>
      <c r="B24">
        <v>1</v>
      </c>
      <c r="C24" t="s">
        <v>21</v>
      </c>
      <c r="D24">
        <v>14</v>
      </c>
      <c r="E24">
        <v>1</v>
      </c>
      <c r="F24">
        <v>23.568999999999999</v>
      </c>
      <c r="G24">
        <v>23.6554</v>
      </c>
      <c r="H24">
        <v>2.64</v>
      </c>
      <c r="I24">
        <v>2.5299999999999998</v>
      </c>
      <c r="J24">
        <v>2.6446999999999998</v>
      </c>
      <c r="K24">
        <v>2.4927000000000001</v>
      </c>
    </row>
    <row r="25" spans="1:11" x14ac:dyDescent="0.35">
      <c r="A25" t="s">
        <v>35</v>
      </c>
      <c r="B25">
        <v>1</v>
      </c>
      <c r="C25" t="s">
        <v>19</v>
      </c>
      <c r="D25">
        <v>16</v>
      </c>
      <c r="E25">
        <v>10</v>
      </c>
      <c r="F25">
        <v>27.524999999999999</v>
      </c>
      <c r="G25">
        <v>27.616199999999999</v>
      </c>
      <c r="H25">
        <v>1.76</v>
      </c>
      <c r="I25">
        <v>1.67</v>
      </c>
      <c r="J25">
        <v>1.7591000000000001</v>
      </c>
      <c r="K25">
        <v>1.6526000000000001</v>
      </c>
    </row>
    <row r="26" spans="1:11" x14ac:dyDescent="0.35">
      <c r="A26" t="s">
        <v>35</v>
      </c>
      <c r="B26">
        <v>1</v>
      </c>
      <c r="C26" t="s">
        <v>0</v>
      </c>
      <c r="D26">
        <v>10</v>
      </c>
      <c r="E26">
        <v>10</v>
      </c>
      <c r="F26">
        <v>21.949000000000002</v>
      </c>
      <c r="G26">
        <v>21.852</v>
      </c>
      <c r="H26">
        <v>80.239999999999995</v>
      </c>
      <c r="I26">
        <v>85.94</v>
      </c>
      <c r="J26">
        <v>80.239500000000007</v>
      </c>
      <c r="K26">
        <v>85.753100000000003</v>
      </c>
    </row>
    <row r="27" spans="1:11" x14ac:dyDescent="0.35">
      <c r="A27" t="s">
        <v>35</v>
      </c>
      <c r="B27">
        <v>1</v>
      </c>
      <c r="C27" t="s">
        <v>18</v>
      </c>
      <c r="D27">
        <v>12</v>
      </c>
      <c r="E27">
        <v>10</v>
      </c>
      <c r="F27">
        <v>25.837</v>
      </c>
      <c r="G27">
        <v>25.786799999999999</v>
      </c>
      <c r="H27">
        <v>5.59</v>
      </c>
      <c r="I27">
        <v>5.82</v>
      </c>
      <c r="J27">
        <v>5.5917000000000003</v>
      </c>
      <c r="K27">
        <v>5.7873000000000001</v>
      </c>
    </row>
    <row r="28" spans="1:11" x14ac:dyDescent="0.35">
      <c r="A28" t="s">
        <v>35</v>
      </c>
      <c r="B28">
        <v>1</v>
      </c>
      <c r="C28" t="s">
        <v>22</v>
      </c>
      <c r="D28">
        <v>13</v>
      </c>
      <c r="E28">
        <v>1</v>
      </c>
      <c r="F28">
        <v>28.411999999999999</v>
      </c>
      <c r="G28">
        <v>28.486799999999999</v>
      </c>
      <c r="H28">
        <v>0.1</v>
      </c>
      <c r="I28">
        <v>0.09</v>
      </c>
      <c r="J28">
        <v>9.5799999999999996E-2</v>
      </c>
      <c r="K28">
        <v>9.0999999999999998E-2</v>
      </c>
    </row>
    <row r="29" spans="1:11" x14ac:dyDescent="0.35">
      <c r="A29" t="s">
        <v>35</v>
      </c>
      <c r="B29">
        <v>1</v>
      </c>
      <c r="C29" t="s">
        <v>20</v>
      </c>
      <c r="D29">
        <v>15</v>
      </c>
      <c r="E29">
        <v>1</v>
      </c>
      <c r="F29">
        <v>18.673999999999999</v>
      </c>
      <c r="G29">
        <v>18.891400000000001</v>
      </c>
      <c r="H29">
        <v>75.66</v>
      </c>
      <c r="I29">
        <v>65.39</v>
      </c>
      <c r="J29">
        <v>75.655500000000004</v>
      </c>
      <c r="K29">
        <v>65.186000000000007</v>
      </c>
    </row>
    <row r="30" spans="1:11" x14ac:dyDescent="0.35">
      <c r="A30" t="s">
        <v>35</v>
      </c>
      <c r="B30">
        <v>1</v>
      </c>
      <c r="C30" t="s">
        <v>30</v>
      </c>
      <c r="D30">
        <v>3</v>
      </c>
      <c r="E30">
        <v>1</v>
      </c>
      <c r="F30">
        <v>18.617999999999999</v>
      </c>
      <c r="G30">
        <v>18.567499999999999</v>
      </c>
      <c r="H30">
        <v>78.61</v>
      </c>
      <c r="I30">
        <v>81.42</v>
      </c>
      <c r="J30">
        <v>78.614500000000007</v>
      </c>
      <c r="K30">
        <v>81.382000000000005</v>
      </c>
    </row>
    <row r="31" spans="1:11" x14ac:dyDescent="0.35">
      <c r="A31" t="s">
        <v>35</v>
      </c>
      <c r="B31">
        <v>1</v>
      </c>
      <c r="C31" t="s">
        <v>30</v>
      </c>
      <c r="D31">
        <v>3</v>
      </c>
      <c r="E31">
        <v>1</v>
      </c>
      <c r="F31">
        <v>18.516999999999999</v>
      </c>
      <c r="G31">
        <v>18.567499999999999</v>
      </c>
      <c r="H31">
        <v>84.23</v>
      </c>
      <c r="I31">
        <v>81.42</v>
      </c>
      <c r="J31">
        <v>84.247</v>
      </c>
      <c r="K31">
        <v>81.382000000000005</v>
      </c>
    </row>
    <row r="32" spans="1:11" x14ac:dyDescent="0.35">
      <c r="A32" t="s">
        <v>35</v>
      </c>
      <c r="B32">
        <v>1</v>
      </c>
      <c r="C32" t="s">
        <v>19</v>
      </c>
      <c r="D32">
        <v>16</v>
      </c>
      <c r="E32">
        <v>10</v>
      </c>
      <c r="F32">
        <v>27.599</v>
      </c>
      <c r="G32">
        <v>27.616199999999999</v>
      </c>
      <c r="H32">
        <v>1.67</v>
      </c>
      <c r="I32">
        <v>1.67</v>
      </c>
      <c r="J32">
        <v>1.6720999999999999</v>
      </c>
      <c r="K32">
        <v>1.6526000000000001</v>
      </c>
    </row>
    <row r="33" spans="1:11" x14ac:dyDescent="0.35">
      <c r="A33" t="s">
        <v>35</v>
      </c>
      <c r="B33">
        <v>1</v>
      </c>
      <c r="C33" t="s">
        <v>0</v>
      </c>
      <c r="D33">
        <v>10</v>
      </c>
      <c r="E33">
        <v>10</v>
      </c>
      <c r="F33">
        <v>21.751999999999999</v>
      </c>
      <c r="G33">
        <v>21.852</v>
      </c>
      <c r="H33">
        <v>91.82</v>
      </c>
      <c r="I33">
        <v>85.94</v>
      </c>
      <c r="J33">
        <v>91.834199999999996</v>
      </c>
      <c r="K33">
        <v>85.753100000000003</v>
      </c>
    </row>
    <row r="34" spans="1:11" x14ac:dyDescent="0.35">
      <c r="A34" t="s">
        <v>35</v>
      </c>
      <c r="B34">
        <v>1</v>
      </c>
      <c r="C34" t="s">
        <v>18</v>
      </c>
      <c r="D34">
        <v>12</v>
      </c>
      <c r="E34">
        <v>10</v>
      </c>
      <c r="F34">
        <v>25.495000000000001</v>
      </c>
      <c r="G34">
        <v>25.786799999999999</v>
      </c>
      <c r="H34">
        <v>7.07</v>
      </c>
      <c r="I34">
        <v>5.82</v>
      </c>
      <c r="J34">
        <v>7.0681000000000003</v>
      </c>
      <c r="K34">
        <v>5.7873000000000001</v>
      </c>
    </row>
    <row r="35" spans="1:11" x14ac:dyDescent="0.35">
      <c r="A35" t="s">
        <v>35</v>
      </c>
      <c r="B35">
        <v>1</v>
      </c>
      <c r="C35" t="s">
        <v>22</v>
      </c>
      <c r="D35">
        <v>13</v>
      </c>
      <c r="E35">
        <v>1</v>
      </c>
      <c r="F35">
        <v>28.385999999999999</v>
      </c>
      <c r="G35">
        <v>28.486799999999999</v>
      </c>
      <c r="H35">
        <v>0.1</v>
      </c>
      <c r="I35">
        <v>0.09</v>
      </c>
      <c r="J35">
        <v>9.7500000000000003E-2</v>
      </c>
      <c r="K35">
        <v>9.0999999999999998E-2</v>
      </c>
    </row>
    <row r="36" spans="1:11" x14ac:dyDescent="0.35">
      <c r="A36" t="s">
        <v>35</v>
      </c>
      <c r="B36">
        <v>1</v>
      </c>
      <c r="C36" t="s">
        <v>20</v>
      </c>
      <c r="D36">
        <v>15</v>
      </c>
      <c r="E36">
        <v>1</v>
      </c>
      <c r="F36">
        <v>19.058</v>
      </c>
      <c r="G36">
        <v>18.891400000000001</v>
      </c>
      <c r="H36">
        <v>58.14</v>
      </c>
      <c r="I36">
        <v>65.39</v>
      </c>
      <c r="J36">
        <v>58.154600000000002</v>
      </c>
      <c r="K36">
        <v>65.186000000000007</v>
      </c>
    </row>
    <row r="37" spans="1:11" x14ac:dyDescent="0.35">
      <c r="A37" t="s">
        <v>35</v>
      </c>
      <c r="B37">
        <v>1</v>
      </c>
      <c r="C37" t="s">
        <v>19</v>
      </c>
      <c r="D37">
        <v>16</v>
      </c>
      <c r="E37">
        <v>10</v>
      </c>
      <c r="F37">
        <v>27.771999999999998</v>
      </c>
      <c r="G37">
        <v>27.616199999999999</v>
      </c>
      <c r="H37">
        <v>1.48</v>
      </c>
      <c r="I37">
        <v>1.67</v>
      </c>
      <c r="J37">
        <v>1.4852000000000001</v>
      </c>
      <c r="K37">
        <v>1.6526000000000001</v>
      </c>
    </row>
    <row r="38" spans="1:11" x14ac:dyDescent="0.35">
      <c r="A38" t="s">
        <v>35</v>
      </c>
      <c r="B38">
        <v>1</v>
      </c>
      <c r="C38" t="s">
        <v>0</v>
      </c>
      <c r="D38">
        <v>10</v>
      </c>
      <c r="E38">
        <v>10</v>
      </c>
      <c r="F38">
        <v>21.780999999999999</v>
      </c>
      <c r="G38">
        <v>21.852</v>
      </c>
      <c r="H38">
        <v>90.05</v>
      </c>
      <c r="I38">
        <v>85.94</v>
      </c>
      <c r="J38">
        <v>90.027600000000007</v>
      </c>
      <c r="K38">
        <v>85.753100000000003</v>
      </c>
    </row>
    <row r="39" spans="1:11" x14ac:dyDescent="0.35">
      <c r="A39" t="s">
        <v>35</v>
      </c>
      <c r="B39">
        <v>1</v>
      </c>
      <c r="C39" t="s">
        <v>18</v>
      </c>
      <c r="D39">
        <v>12</v>
      </c>
      <c r="E39">
        <v>10</v>
      </c>
      <c r="F39">
        <v>25.861999999999998</v>
      </c>
      <c r="G39">
        <v>25.786799999999999</v>
      </c>
      <c r="H39">
        <v>5.5</v>
      </c>
      <c r="I39">
        <v>5.82</v>
      </c>
      <c r="J39">
        <v>5.4966999999999997</v>
      </c>
      <c r="K39">
        <v>5.7873000000000001</v>
      </c>
    </row>
    <row r="40" spans="1:11" x14ac:dyDescent="0.35">
      <c r="A40" t="s">
        <v>35</v>
      </c>
      <c r="B40">
        <v>1</v>
      </c>
      <c r="C40" t="s">
        <v>22</v>
      </c>
      <c r="D40">
        <v>13</v>
      </c>
      <c r="E40">
        <v>1</v>
      </c>
      <c r="F40">
        <v>28.489000000000001</v>
      </c>
      <c r="G40">
        <v>28.486799999999999</v>
      </c>
      <c r="H40">
        <v>0.09</v>
      </c>
      <c r="I40">
        <v>0.09</v>
      </c>
      <c r="J40">
        <v>9.0899999999999995E-2</v>
      </c>
      <c r="K40">
        <v>9.0999999999999998E-2</v>
      </c>
    </row>
    <row r="41" spans="1:11" x14ac:dyDescent="0.35">
      <c r="A41" t="s">
        <v>35</v>
      </c>
      <c r="B41">
        <v>1</v>
      </c>
      <c r="C41" t="s">
        <v>20</v>
      </c>
      <c r="D41">
        <v>15</v>
      </c>
      <c r="E41">
        <v>1</v>
      </c>
      <c r="F41">
        <v>18.968</v>
      </c>
      <c r="G41">
        <v>18.891400000000001</v>
      </c>
      <c r="H41">
        <v>61.85</v>
      </c>
      <c r="I41">
        <v>65.39</v>
      </c>
      <c r="J41">
        <v>61.853299999999997</v>
      </c>
      <c r="K41">
        <v>65.186000000000007</v>
      </c>
    </row>
    <row r="42" spans="1:11" x14ac:dyDescent="0.35">
      <c r="A42" t="s">
        <v>35</v>
      </c>
      <c r="B42">
        <v>1</v>
      </c>
      <c r="C42" t="s">
        <v>29</v>
      </c>
      <c r="D42">
        <v>4</v>
      </c>
      <c r="E42">
        <v>1</v>
      </c>
      <c r="F42">
        <v>20.983000000000001</v>
      </c>
      <c r="G42">
        <v>21.041499999999999</v>
      </c>
      <c r="H42">
        <v>15.55</v>
      </c>
      <c r="I42">
        <v>14.95</v>
      </c>
      <c r="J42">
        <v>15.553000000000001</v>
      </c>
      <c r="K42">
        <v>14.942</v>
      </c>
    </row>
    <row r="43" spans="1:11" x14ac:dyDescent="0.35">
      <c r="A43" t="s">
        <v>35</v>
      </c>
      <c r="B43">
        <v>1</v>
      </c>
      <c r="C43" t="s">
        <v>29</v>
      </c>
      <c r="D43">
        <v>4</v>
      </c>
      <c r="E43">
        <v>1</v>
      </c>
      <c r="F43">
        <v>21.1</v>
      </c>
      <c r="G43">
        <v>21.041499999999999</v>
      </c>
      <c r="H43">
        <v>14.35</v>
      </c>
      <c r="I43">
        <v>14.95</v>
      </c>
      <c r="J43">
        <v>14.355</v>
      </c>
      <c r="K43">
        <v>14.942</v>
      </c>
    </row>
    <row r="44" spans="1:11" x14ac:dyDescent="0.35">
      <c r="A44" t="s">
        <v>35</v>
      </c>
      <c r="B44">
        <v>1</v>
      </c>
      <c r="C44" t="s">
        <v>19</v>
      </c>
      <c r="D44">
        <v>16</v>
      </c>
      <c r="E44">
        <v>10</v>
      </c>
      <c r="F44">
        <v>27.346</v>
      </c>
      <c r="G44">
        <v>27.616199999999999</v>
      </c>
      <c r="H44">
        <v>1.99</v>
      </c>
      <c r="I44">
        <v>1.67</v>
      </c>
      <c r="J44">
        <v>1.9885999999999999</v>
      </c>
      <c r="K44">
        <v>1.6526000000000001</v>
      </c>
    </row>
    <row r="45" spans="1:11" x14ac:dyDescent="0.35">
      <c r="A45" t="s">
        <v>35</v>
      </c>
      <c r="B45">
        <v>1</v>
      </c>
      <c r="C45" t="s">
        <v>0</v>
      </c>
      <c r="D45">
        <v>10</v>
      </c>
      <c r="E45">
        <v>10</v>
      </c>
      <c r="F45">
        <v>21.652999999999999</v>
      </c>
      <c r="G45">
        <v>21.852</v>
      </c>
      <c r="H45">
        <v>98.25</v>
      </c>
      <c r="I45">
        <v>85.94</v>
      </c>
      <c r="J45">
        <v>98.278999999999996</v>
      </c>
      <c r="K45">
        <v>85.753100000000003</v>
      </c>
    </row>
    <row r="46" spans="1:11" x14ac:dyDescent="0.35">
      <c r="A46" t="s">
        <v>35</v>
      </c>
      <c r="B46">
        <v>1</v>
      </c>
      <c r="C46" t="s">
        <v>18</v>
      </c>
      <c r="D46">
        <v>12</v>
      </c>
      <c r="E46">
        <v>10</v>
      </c>
      <c r="F46">
        <v>25.655000000000001</v>
      </c>
      <c r="G46">
        <v>25.786799999999999</v>
      </c>
      <c r="H46">
        <v>6.33</v>
      </c>
      <c r="I46">
        <v>5.82</v>
      </c>
      <c r="J46">
        <v>6.3342999999999998</v>
      </c>
      <c r="K46">
        <v>5.7873000000000001</v>
      </c>
    </row>
    <row r="47" spans="1:11" x14ac:dyDescent="0.35">
      <c r="A47" t="s">
        <v>35</v>
      </c>
      <c r="B47">
        <v>1</v>
      </c>
      <c r="C47" t="s">
        <v>22</v>
      </c>
      <c r="D47">
        <v>13</v>
      </c>
      <c r="E47">
        <v>1</v>
      </c>
      <c r="F47">
        <v>28.661000000000001</v>
      </c>
      <c r="G47">
        <v>28.486799999999999</v>
      </c>
      <c r="H47">
        <v>0.08</v>
      </c>
      <c r="I47">
        <v>0.09</v>
      </c>
      <c r="J47">
        <v>8.0799999999999997E-2</v>
      </c>
      <c r="K47">
        <v>9.0999999999999998E-2</v>
      </c>
    </row>
    <row r="48" spans="1:11" x14ac:dyDescent="0.35">
      <c r="A48" t="s">
        <v>35</v>
      </c>
      <c r="B48">
        <v>1</v>
      </c>
      <c r="C48" t="s">
        <v>20</v>
      </c>
      <c r="D48">
        <v>15</v>
      </c>
      <c r="E48">
        <v>1</v>
      </c>
      <c r="F48">
        <v>18.946999999999999</v>
      </c>
      <c r="G48">
        <v>18.891400000000001</v>
      </c>
      <c r="H48">
        <v>62.73</v>
      </c>
      <c r="I48">
        <v>65.39</v>
      </c>
      <c r="J48">
        <v>62.749600000000001</v>
      </c>
      <c r="K48">
        <v>65.186000000000007</v>
      </c>
    </row>
    <row r="49" spans="1:11" x14ac:dyDescent="0.35">
      <c r="A49" t="s">
        <v>35</v>
      </c>
      <c r="B49">
        <v>1</v>
      </c>
      <c r="C49" t="s">
        <v>19</v>
      </c>
      <c r="D49">
        <v>16</v>
      </c>
      <c r="E49">
        <v>10</v>
      </c>
      <c r="F49">
        <v>27.954000000000001</v>
      </c>
      <c r="G49">
        <v>27.616199999999999</v>
      </c>
      <c r="H49">
        <v>1.31</v>
      </c>
      <c r="I49">
        <v>1.67</v>
      </c>
      <c r="J49">
        <v>1.3110999999999999</v>
      </c>
      <c r="K49">
        <v>1.6526000000000001</v>
      </c>
    </row>
    <row r="50" spans="1:11" x14ac:dyDescent="0.35">
      <c r="A50" t="s">
        <v>35</v>
      </c>
      <c r="B50">
        <v>1</v>
      </c>
      <c r="C50" t="s">
        <v>0</v>
      </c>
      <c r="D50">
        <v>10</v>
      </c>
      <c r="E50">
        <v>10</v>
      </c>
      <c r="F50">
        <v>21.899000000000001</v>
      </c>
      <c r="G50">
        <v>21.852</v>
      </c>
      <c r="H50">
        <v>83.05</v>
      </c>
      <c r="I50">
        <v>85.94</v>
      </c>
      <c r="J50">
        <v>83.035799999999995</v>
      </c>
      <c r="K50">
        <v>85.753100000000003</v>
      </c>
    </row>
    <row r="51" spans="1:11" x14ac:dyDescent="0.35">
      <c r="A51" t="s">
        <v>35</v>
      </c>
      <c r="B51">
        <v>1</v>
      </c>
      <c r="C51" t="s">
        <v>18</v>
      </c>
      <c r="D51">
        <v>12</v>
      </c>
      <c r="E51">
        <v>10</v>
      </c>
      <c r="F51">
        <v>25.861999999999998</v>
      </c>
      <c r="G51">
        <v>25.786799999999999</v>
      </c>
      <c r="H51">
        <v>5.5</v>
      </c>
      <c r="I51">
        <v>5.82</v>
      </c>
      <c r="J51">
        <v>5.4966999999999997</v>
      </c>
      <c r="K51">
        <v>5.7873000000000001</v>
      </c>
    </row>
    <row r="52" spans="1:11" x14ac:dyDescent="0.35">
      <c r="A52" t="s">
        <v>35</v>
      </c>
      <c r="B52">
        <v>1</v>
      </c>
      <c r="C52" t="s">
        <v>22</v>
      </c>
      <c r="D52">
        <v>13</v>
      </c>
      <c r="E52">
        <v>1</v>
      </c>
      <c r="F52">
        <v>28.428000000000001</v>
      </c>
      <c r="G52">
        <v>28.486799999999999</v>
      </c>
      <c r="H52">
        <v>0.09</v>
      </c>
      <c r="I52">
        <v>0.09</v>
      </c>
      <c r="J52">
        <v>9.4799999999999995E-2</v>
      </c>
      <c r="K52">
        <v>9.0999999999999998E-2</v>
      </c>
    </row>
    <row r="53" spans="1:11" x14ac:dyDescent="0.35">
      <c r="A53" t="s">
        <v>35</v>
      </c>
      <c r="B53">
        <v>1</v>
      </c>
      <c r="C53" t="s">
        <v>20</v>
      </c>
      <c r="D53">
        <v>15</v>
      </c>
      <c r="E53">
        <v>1</v>
      </c>
      <c r="F53">
        <v>18.818000000000001</v>
      </c>
      <c r="G53">
        <v>18.891400000000001</v>
      </c>
      <c r="H53">
        <v>68.540000000000006</v>
      </c>
      <c r="I53">
        <v>65.39</v>
      </c>
      <c r="J53">
        <v>68.547899999999998</v>
      </c>
      <c r="K53">
        <v>65.186000000000007</v>
      </c>
    </row>
    <row r="54" spans="1:11" x14ac:dyDescent="0.35">
      <c r="A54" t="s">
        <v>35</v>
      </c>
      <c r="B54">
        <v>1</v>
      </c>
      <c r="C54" t="s">
        <v>28</v>
      </c>
      <c r="D54">
        <v>5</v>
      </c>
      <c r="E54">
        <v>1</v>
      </c>
      <c r="F54">
        <v>23.324000000000002</v>
      </c>
      <c r="G54">
        <v>23.382999999999999</v>
      </c>
      <c r="H54">
        <v>3.13</v>
      </c>
      <c r="I54">
        <v>3.01</v>
      </c>
      <c r="J54">
        <v>3.1280000000000001</v>
      </c>
      <c r="K54">
        <v>3.0041000000000002</v>
      </c>
    </row>
    <row r="55" spans="1:11" x14ac:dyDescent="0.35">
      <c r="A55" t="s">
        <v>35</v>
      </c>
      <c r="B55">
        <v>1</v>
      </c>
      <c r="C55" t="s">
        <v>28</v>
      </c>
      <c r="D55">
        <v>5</v>
      </c>
      <c r="E55">
        <v>1</v>
      </c>
      <c r="F55">
        <v>23.442</v>
      </c>
      <c r="G55">
        <v>23.382999999999999</v>
      </c>
      <c r="H55">
        <v>2.88</v>
      </c>
      <c r="I55">
        <v>3.01</v>
      </c>
      <c r="J55">
        <v>2.8851</v>
      </c>
      <c r="K55">
        <v>3.0041000000000002</v>
      </c>
    </row>
    <row r="56" spans="1:11" x14ac:dyDescent="0.35">
      <c r="A56" t="s">
        <v>35</v>
      </c>
      <c r="B56">
        <v>1</v>
      </c>
      <c r="C56" t="s">
        <v>19</v>
      </c>
      <c r="D56">
        <v>16</v>
      </c>
      <c r="E56">
        <v>10</v>
      </c>
      <c r="F56">
        <v>27.425000000000001</v>
      </c>
      <c r="G56">
        <v>27.616199999999999</v>
      </c>
      <c r="H56">
        <v>1.88</v>
      </c>
      <c r="I56">
        <v>1.67</v>
      </c>
      <c r="J56">
        <v>1.8837999999999999</v>
      </c>
      <c r="K56">
        <v>1.6526000000000001</v>
      </c>
    </row>
    <row r="57" spans="1:11" x14ac:dyDescent="0.35">
      <c r="A57" t="s">
        <v>35</v>
      </c>
      <c r="B57">
        <v>1</v>
      </c>
      <c r="C57" t="s">
        <v>0</v>
      </c>
      <c r="D57">
        <v>10</v>
      </c>
      <c r="E57">
        <v>10</v>
      </c>
      <c r="F57">
        <v>21.952000000000002</v>
      </c>
      <c r="G57">
        <v>21.852</v>
      </c>
      <c r="H57">
        <v>80.06</v>
      </c>
      <c r="I57">
        <v>85.94</v>
      </c>
      <c r="J57">
        <v>80.074799999999996</v>
      </c>
      <c r="K57">
        <v>85.753100000000003</v>
      </c>
    </row>
    <row r="58" spans="1:11" x14ac:dyDescent="0.35">
      <c r="A58" t="s">
        <v>35</v>
      </c>
      <c r="B58">
        <v>1</v>
      </c>
      <c r="C58" t="s">
        <v>18</v>
      </c>
      <c r="D58">
        <v>12</v>
      </c>
      <c r="E58">
        <v>10</v>
      </c>
      <c r="F58">
        <v>25.747</v>
      </c>
      <c r="G58">
        <v>25.786799999999999</v>
      </c>
      <c r="H58">
        <v>5.95</v>
      </c>
      <c r="I58">
        <v>5.82</v>
      </c>
      <c r="J58">
        <v>5.9473000000000003</v>
      </c>
      <c r="K58">
        <v>5.7873000000000001</v>
      </c>
    </row>
    <row r="59" spans="1:11" x14ac:dyDescent="0.35">
      <c r="A59" t="s">
        <v>35</v>
      </c>
      <c r="B59">
        <v>1</v>
      </c>
      <c r="C59" t="s">
        <v>22</v>
      </c>
      <c r="D59">
        <v>13</v>
      </c>
      <c r="E59">
        <v>1</v>
      </c>
      <c r="F59">
        <v>28.504000000000001</v>
      </c>
      <c r="G59">
        <v>28.486799999999999</v>
      </c>
      <c r="H59">
        <v>0.09</v>
      </c>
      <c r="I59">
        <v>0.09</v>
      </c>
      <c r="J59">
        <v>8.9899999999999994E-2</v>
      </c>
      <c r="K59">
        <v>9.0999999999999998E-2</v>
      </c>
    </row>
    <row r="60" spans="1:11" x14ac:dyDescent="0.35">
      <c r="A60" t="s">
        <v>35</v>
      </c>
      <c r="B60">
        <v>1</v>
      </c>
      <c r="C60" t="s">
        <v>20</v>
      </c>
      <c r="D60">
        <v>15</v>
      </c>
      <c r="E60">
        <v>1</v>
      </c>
      <c r="F60">
        <v>18.998999999999999</v>
      </c>
      <c r="G60">
        <v>18.891400000000001</v>
      </c>
      <c r="H60">
        <v>60.53</v>
      </c>
      <c r="I60">
        <v>65.39</v>
      </c>
      <c r="J60">
        <v>60.5535</v>
      </c>
      <c r="K60">
        <v>65.186000000000007</v>
      </c>
    </row>
    <row r="61" spans="1:11" x14ac:dyDescent="0.35">
      <c r="A61" t="s">
        <v>35</v>
      </c>
      <c r="B61">
        <v>1</v>
      </c>
      <c r="C61" t="s">
        <v>19</v>
      </c>
      <c r="D61">
        <v>16</v>
      </c>
      <c r="E61">
        <v>10</v>
      </c>
      <c r="F61">
        <v>27.986000000000001</v>
      </c>
      <c r="G61">
        <v>27.616199999999999</v>
      </c>
      <c r="H61">
        <v>1.28</v>
      </c>
      <c r="I61">
        <v>1.67</v>
      </c>
      <c r="J61">
        <v>1.2827</v>
      </c>
      <c r="K61">
        <v>1.6526000000000001</v>
      </c>
    </row>
    <row r="62" spans="1:11" x14ac:dyDescent="0.35">
      <c r="A62" t="s">
        <v>35</v>
      </c>
      <c r="B62">
        <v>1</v>
      </c>
      <c r="C62" t="s">
        <v>15</v>
      </c>
      <c r="D62">
        <v>11</v>
      </c>
      <c r="E62">
        <v>10</v>
      </c>
      <c r="F62">
        <v>24.207999999999998</v>
      </c>
      <c r="G62">
        <v>24.151499999999999</v>
      </c>
      <c r="H62">
        <v>17.059999999999999</v>
      </c>
      <c r="I62">
        <v>17.86</v>
      </c>
      <c r="J62">
        <v>17.0702</v>
      </c>
      <c r="K62">
        <v>17.744</v>
      </c>
    </row>
    <row r="63" spans="1:11" x14ac:dyDescent="0.35">
      <c r="A63" t="s">
        <v>35</v>
      </c>
      <c r="B63">
        <v>1</v>
      </c>
      <c r="C63" t="s">
        <v>18</v>
      </c>
      <c r="D63">
        <v>12</v>
      </c>
      <c r="E63">
        <v>10</v>
      </c>
      <c r="F63">
        <v>25.757999999999999</v>
      </c>
      <c r="G63">
        <v>25.786799999999999</v>
      </c>
      <c r="H63">
        <v>5.9</v>
      </c>
      <c r="I63">
        <v>5.82</v>
      </c>
      <c r="J63">
        <v>5.9027000000000003</v>
      </c>
      <c r="K63">
        <v>5.7873000000000001</v>
      </c>
    </row>
    <row r="64" spans="1:11" x14ac:dyDescent="0.35">
      <c r="A64" t="s">
        <v>35</v>
      </c>
      <c r="B64">
        <v>1</v>
      </c>
      <c r="C64" t="s">
        <v>21</v>
      </c>
      <c r="D64">
        <v>14</v>
      </c>
      <c r="E64">
        <v>1</v>
      </c>
      <c r="F64">
        <v>23.791</v>
      </c>
      <c r="G64">
        <v>23.6554</v>
      </c>
      <c r="H64">
        <v>2.27</v>
      </c>
      <c r="I64">
        <v>2.5299999999999998</v>
      </c>
      <c r="J64">
        <v>2.2715000000000001</v>
      </c>
      <c r="K64">
        <v>2.4927000000000001</v>
      </c>
    </row>
    <row r="65" spans="1:11" x14ac:dyDescent="0.35">
      <c r="A65" t="s">
        <v>35</v>
      </c>
      <c r="B65">
        <v>1</v>
      </c>
      <c r="C65" t="s">
        <v>20</v>
      </c>
      <c r="D65">
        <v>15</v>
      </c>
      <c r="E65">
        <v>1</v>
      </c>
      <c r="F65">
        <v>18.899999999999999</v>
      </c>
      <c r="G65">
        <v>18.891400000000001</v>
      </c>
      <c r="H65">
        <v>64.819999999999993</v>
      </c>
      <c r="I65">
        <v>65.39</v>
      </c>
      <c r="J65">
        <v>64.803100000000001</v>
      </c>
      <c r="K65">
        <v>65.186000000000007</v>
      </c>
    </row>
    <row r="66" spans="1:11" x14ac:dyDescent="0.35">
      <c r="A66" t="s">
        <v>35</v>
      </c>
      <c r="B66">
        <v>1</v>
      </c>
      <c r="C66" t="s">
        <v>27</v>
      </c>
      <c r="D66">
        <v>6</v>
      </c>
      <c r="E66">
        <v>1</v>
      </c>
      <c r="F66">
        <v>25.655000000000001</v>
      </c>
      <c r="G66">
        <v>25.67</v>
      </c>
      <c r="H66">
        <v>0.63</v>
      </c>
      <c r="I66">
        <v>0.63</v>
      </c>
      <c r="J66">
        <v>0.63339999999999996</v>
      </c>
      <c r="K66">
        <v>0.62690000000000001</v>
      </c>
    </row>
    <row r="67" spans="1:11" x14ac:dyDescent="0.35">
      <c r="A67" t="s">
        <v>35</v>
      </c>
      <c r="B67">
        <v>1</v>
      </c>
      <c r="C67" t="s">
        <v>27</v>
      </c>
      <c r="D67">
        <v>6</v>
      </c>
      <c r="E67">
        <v>1</v>
      </c>
      <c r="F67">
        <v>25.684999999999999</v>
      </c>
      <c r="G67">
        <v>25.67</v>
      </c>
      <c r="H67">
        <v>0.62</v>
      </c>
      <c r="I67">
        <v>0.63</v>
      </c>
      <c r="J67">
        <v>0.62050000000000005</v>
      </c>
      <c r="K67">
        <v>0.62690000000000001</v>
      </c>
    </row>
    <row r="68" spans="1:11" x14ac:dyDescent="0.35">
      <c r="A68" t="s">
        <v>35</v>
      </c>
      <c r="B68">
        <v>1</v>
      </c>
      <c r="C68" t="s">
        <v>25</v>
      </c>
      <c r="D68">
        <v>9</v>
      </c>
      <c r="E68">
        <v>1</v>
      </c>
      <c r="F68">
        <v>31.562999999999999</v>
      </c>
      <c r="G68">
        <v>31.9267</v>
      </c>
      <c r="H68">
        <v>0.01</v>
      </c>
      <c r="I68">
        <v>0.01</v>
      </c>
      <c r="J68">
        <v>1.11E-2</v>
      </c>
      <c r="K68">
        <v>8.6E-3</v>
      </c>
    </row>
    <row r="69" spans="1:11" x14ac:dyDescent="0.35">
      <c r="A69" t="s">
        <v>35</v>
      </c>
      <c r="B69">
        <v>1</v>
      </c>
      <c r="C69" t="s">
        <v>15</v>
      </c>
      <c r="D69">
        <v>11</v>
      </c>
      <c r="E69">
        <v>10</v>
      </c>
      <c r="F69">
        <v>24.263999999999999</v>
      </c>
      <c r="G69">
        <v>24.151499999999999</v>
      </c>
      <c r="H69">
        <v>16.420000000000002</v>
      </c>
      <c r="I69">
        <v>17.86</v>
      </c>
      <c r="J69">
        <v>16.427700000000002</v>
      </c>
      <c r="K69">
        <v>17.744</v>
      </c>
    </row>
    <row r="70" spans="1:11" x14ac:dyDescent="0.35">
      <c r="A70" t="s">
        <v>35</v>
      </c>
      <c r="B70">
        <v>1</v>
      </c>
      <c r="C70" t="s">
        <v>18</v>
      </c>
      <c r="D70">
        <v>12</v>
      </c>
      <c r="E70">
        <v>10</v>
      </c>
      <c r="F70">
        <v>26.129000000000001</v>
      </c>
      <c r="G70">
        <v>25.786799999999999</v>
      </c>
      <c r="H70">
        <v>4.58</v>
      </c>
      <c r="I70">
        <v>5.82</v>
      </c>
      <c r="J70">
        <v>4.5777999999999999</v>
      </c>
      <c r="K70">
        <v>5.7873000000000001</v>
      </c>
    </row>
    <row r="71" spans="1:11" x14ac:dyDescent="0.35">
      <c r="A71" t="s">
        <v>35</v>
      </c>
      <c r="B71">
        <v>1</v>
      </c>
      <c r="C71" t="s">
        <v>21</v>
      </c>
      <c r="D71">
        <v>14</v>
      </c>
      <c r="E71">
        <v>1</v>
      </c>
      <c r="F71">
        <v>23.395</v>
      </c>
      <c r="G71">
        <v>23.6554</v>
      </c>
      <c r="H71">
        <v>2.98</v>
      </c>
      <c r="I71">
        <v>2.5299999999999998</v>
      </c>
      <c r="J71">
        <v>2.9794999999999998</v>
      </c>
      <c r="K71">
        <v>2.4927000000000001</v>
      </c>
    </row>
    <row r="72" spans="1:11" x14ac:dyDescent="0.35">
      <c r="A72" t="s">
        <v>35</v>
      </c>
      <c r="B72">
        <v>1</v>
      </c>
      <c r="C72" t="s">
        <v>20</v>
      </c>
      <c r="D72">
        <v>15</v>
      </c>
      <c r="E72">
        <v>1</v>
      </c>
      <c r="F72">
        <v>18.952999999999999</v>
      </c>
      <c r="G72">
        <v>18.891400000000001</v>
      </c>
      <c r="H72">
        <v>62.5</v>
      </c>
      <c r="I72">
        <v>65.39</v>
      </c>
      <c r="J72">
        <v>62.492199999999997</v>
      </c>
      <c r="K72">
        <v>65.186000000000007</v>
      </c>
    </row>
    <row r="73" spans="1:11" x14ac:dyDescent="0.35">
      <c r="A73" t="s">
        <v>35</v>
      </c>
      <c r="B73">
        <v>1</v>
      </c>
      <c r="C73" t="s">
        <v>25</v>
      </c>
      <c r="D73">
        <v>9</v>
      </c>
      <c r="E73">
        <v>1</v>
      </c>
      <c r="F73">
        <v>31.998999999999999</v>
      </c>
      <c r="G73">
        <v>31.9267</v>
      </c>
      <c r="H73">
        <v>0.01</v>
      </c>
      <c r="I73">
        <v>0.01</v>
      </c>
      <c r="J73">
        <v>8.2000000000000007E-3</v>
      </c>
      <c r="K73">
        <v>8.6E-3</v>
      </c>
    </row>
    <row r="74" spans="1:11" x14ac:dyDescent="0.35">
      <c r="A74" t="s">
        <v>35</v>
      </c>
      <c r="B74">
        <v>1</v>
      </c>
      <c r="C74" t="s">
        <v>15</v>
      </c>
      <c r="D74">
        <v>11</v>
      </c>
      <c r="E74">
        <v>10</v>
      </c>
      <c r="F74">
        <v>24.228000000000002</v>
      </c>
      <c r="G74">
        <v>24.151499999999999</v>
      </c>
      <c r="H74">
        <v>16.829999999999998</v>
      </c>
      <c r="I74">
        <v>17.86</v>
      </c>
      <c r="J74">
        <v>16.837900000000001</v>
      </c>
      <c r="K74">
        <v>17.744</v>
      </c>
    </row>
    <row r="75" spans="1:11" x14ac:dyDescent="0.35">
      <c r="A75" t="s">
        <v>35</v>
      </c>
      <c r="B75">
        <v>1</v>
      </c>
      <c r="C75" t="s">
        <v>18</v>
      </c>
      <c r="D75">
        <v>12</v>
      </c>
      <c r="E75">
        <v>10</v>
      </c>
      <c r="F75">
        <v>25.866</v>
      </c>
      <c r="G75">
        <v>25.786799999999999</v>
      </c>
      <c r="H75">
        <v>5.48</v>
      </c>
      <c r="I75">
        <v>5.82</v>
      </c>
      <c r="J75">
        <v>5.4817</v>
      </c>
      <c r="K75">
        <v>5.7873000000000001</v>
      </c>
    </row>
    <row r="76" spans="1:11" x14ac:dyDescent="0.35">
      <c r="A76" t="s">
        <v>35</v>
      </c>
      <c r="B76">
        <v>1</v>
      </c>
      <c r="C76" t="s">
        <v>21</v>
      </c>
      <c r="D76">
        <v>14</v>
      </c>
      <c r="E76">
        <v>1</v>
      </c>
      <c r="F76">
        <v>23.251999999999999</v>
      </c>
      <c r="G76">
        <v>23.6554</v>
      </c>
      <c r="H76">
        <v>3.29</v>
      </c>
      <c r="I76">
        <v>2.5299999999999998</v>
      </c>
      <c r="J76">
        <v>3.2862</v>
      </c>
      <c r="K76">
        <v>2.4927000000000001</v>
      </c>
    </row>
    <row r="77" spans="1:11" x14ac:dyDescent="0.35">
      <c r="A77" t="s">
        <v>35</v>
      </c>
      <c r="B77">
        <v>1</v>
      </c>
      <c r="C77" t="s">
        <v>20</v>
      </c>
      <c r="D77">
        <v>15</v>
      </c>
      <c r="E77">
        <v>1</v>
      </c>
      <c r="F77">
        <v>18.715</v>
      </c>
      <c r="G77">
        <v>18.891400000000001</v>
      </c>
      <c r="H77">
        <v>73.53</v>
      </c>
      <c r="I77">
        <v>65.39</v>
      </c>
      <c r="J77">
        <v>73.559899999999999</v>
      </c>
      <c r="K77">
        <v>65.186000000000007</v>
      </c>
    </row>
    <row r="78" spans="1:11" x14ac:dyDescent="0.35">
      <c r="A78" t="s">
        <v>35</v>
      </c>
      <c r="B78">
        <v>1</v>
      </c>
      <c r="C78" t="s">
        <v>26</v>
      </c>
      <c r="D78">
        <v>7</v>
      </c>
      <c r="E78">
        <v>1</v>
      </c>
      <c r="F78">
        <v>27.943000000000001</v>
      </c>
      <c r="G78">
        <v>27.866</v>
      </c>
      <c r="H78">
        <v>0.13</v>
      </c>
      <c r="I78">
        <v>0.14000000000000001</v>
      </c>
      <c r="J78">
        <v>0.1321</v>
      </c>
      <c r="K78">
        <v>0.13930000000000001</v>
      </c>
    </row>
    <row r="79" spans="1:11" x14ac:dyDescent="0.35">
      <c r="A79" t="s">
        <v>35</v>
      </c>
      <c r="B79">
        <v>1</v>
      </c>
      <c r="C79" t="s">
        <v>26</v>
      </c>
      <c r="D79">
        <v>7</v>
      </c>
      <c r="E79">
        <v>1</v>
      </c>
      <c r="F79">
        <v>27.789000000000001</v>
      </c>
      <c r="G79">
        <v>27.866</v>
      </c>
      <c r="H79">
        <v>0.15</v>
      </c>
      <c r="I79">
        <v>0.14000000000000001</v>
      </c>
      <c r="J79">
        <v>0.14680000000000001</v>
      </c>
      <c r="K79">
        <v>0.13930000000000001</v>
      </c>
    </row>
    <row r="80" spans="1:11" x14ac:dyDescent="0.35">
      <c r="A80" t="s">
        <v>35</v>
      </c>
      <c r="B80">
        <v>1</v>
      </c>
      <c r="C80" t="s">
        <v>25</v>
      </c>
      <c r="D80">
        <v>9</v>
      </c>
      <c r="E80">
        <v>1</v>
      </c>
      <c r="F80">
        <v>31.436</v>
      </c>
      <c r="G80">
        <v>31.9267</v>
      </c>
      <c r="H80">
        <v>0.01</v>
      </c>
      <c r="I80">
        <v>0.01</v>
      </c>
      <c r="J80">
        <v>1.21E-2</v>
      </c>
      <c r="K80">
        <v>8.6E-3</v>
      </c>
    </row>
    <row r="81" spans="1:11" x14ac:dyDescent="0.35">
      <c r="A81" t="s">
        <v>35</v>
      </c>
      <c r="B81">
        <v>1</v>
      </c>
      <c r="C81" t="s">
        <v>15</v>
      </c>
      <c r="D81">
        <v>11</v>
      </c>
      <c r="E81">
        <v>10</v>
      </c>
      <c r="F81">
        <v>24.210999999999999</v>
      </c>
      <c r="G81">
        <v>24.151499999999999</v>
      </c>
      <c r="H81">
        <v>17.03</v>
      </c>
      <c r="I81">
        <v>17.86</v>
      </c>
      <c r="J81">
        <v>17.0352</v>
      </c>
      <c r="K81">
        <v>17.744</v>
      </c>
    </row>
    <row r="82" spans="1:11" x14ac:dyDescent="0.35">
      <c r="A82" t="s">
        <v>35</v>
      </c>
      <c r="B82">
        <v>1</v>
      </c>
      <c r="C82" t="s">
        <v>18</v>
      </c>
      <c r="D82">
        <v>12</v>
      </c>
      <c r="E82">
        <v>10</v>
      </c>
      <c r="F82">
        <v>25.657</v>
      </c>
      <c r="G82">
        <v>25.786799999999999</v>
      </c>
      <c r="H82">
        <v>6.32</v>
      </c>
      <c r="I82">
        <v>5.82</v>
      </c>
      <c r="J82">
        <v>6.3255999999999997</v>
      </c>
      <c r="K82">
        <v>5.7873000000000001</v>
      </c>
    </row>
    <row r="83" spans="1:11" x14ac:dyDescent="0.35">
      <c r="A83" t="s">
        <v>35</v>
      </c>
      <c r="B83">
        <v>1</v>
      </c>
      <c r="C83" t="s">
        <v>21</v>
      </c>
      <c r="D83">
        <v>14</v>
      </c>
      <c r="E83">
        <v>1</v>
      </c>
      <c r="F83">
        <v>23.411999999999999</v>
      </c>
      <c r="G83">
        <v>23.6554</v>
      </c>
      <c r="H83">
        <v>2.95</v>
      </c>
      <c r="I83">
        <v>2.5299999999999998</v>
      </c>
      <c r="J83">
        <v>2.9449999999999998</v>
      </c>
      <c r="K83">
        <v>2.4927000000000001</v>
      </c>
    </row>
    <row r="84" spans="1:11" x14ac:dyDescent="0.35">
      <c r="A84" t="s">
        <v>35</v>
      </c>
      <c r="B84">
        <v>1</v>
      </c>
      <c r="C84" t="s">
        <v>20</v>
      </c>
      <c r="D84">
        <v>15</v>
      </c>
      <c r="E84">
        <v>1</v>
      </c>
      <c r="F84">
        <v>18.882000000000001</v>
      </c>
      <c r="G84">
        <v>18.891400000000001</v>
      </c>
      <c r="H84">
        <v>65.62</v>
      </c>
      <c r="I84">
        <v>65.39</v>
      </c>
      <c r="J84">
        <v>65.607200000000006</v>
      </c>
      <c r="K84">
        <v>65.186000000000007</v>
      </c>
    </row>
    <row r="85" spans="1:11" x14ac:dyDescent="0.35">
      <c r="A85" t="s">
        <v>35</v>
      </c>
      <c r="B85">
        <v>1</v>
      </c>
      <c r="C85" t="s">
        <v>25</v>
      </c>
      <c r="D85">
        <v>9</v>
      </c>
      <c r="E85">
        <v>1</v>
      </c>
      <c r="F85">
        <v>32.174999999999997</v>
      </c>
      <c r="G85">
        <v>31.9267</v>
      </c>
      <c r="H85">
        <v>0.01</v>
      </c>
      <c r="I85">
        <v>0.01</v>
      </c>
      <c r="J85">
        <v>7.3000000000000001E-3</v>
      </c>
      <c r="K85">
        <v>8.6E-3</v>
      </c>
    </row>
    <row r="86" spans="1:11" x14ac:dyDescent="0.35">
      <c r="A86" t="s">
        <v>35</v>
      </c>
      <c r="B86">
        <v>1</v>
      </c>
      <c r="C86" t="s">
        <v>15</v>
      </c>
      <c r="D86">
        <v>11</v>
      </c>
      <c r="E86">
        <v>10</v>
      </c>
      <c r="F86">
        <v>24.294</v>
      </c>
      <c r="G86">
        <v>24.151499999999999</v>
      </c>
      <c r="H86">
        <v>16.100000000000001</v>
      </c>
      <c r="I86">
        <v>17.86</v>
      </c>
      <c r="J86">
        <v>16.093499999999999</v>
      </c>
      <c r="K86">
        <v>17.744</v>
      </c>
    </row>
    <row r="87" spans="1:11" x14ac:dyDescent="0.35">
      <c r="A87" t="s">
        <v>35</v>
      </c>
      <c r="B87">
        <v>1</v>
      </c>
      <c r="C87" t="s">
        <v>25</v>
      </c>
      <c r="D87">
        <v>9</v>
      </c>
      <c r="E87">
        <v>1</v>
      </c>
      <c r="F87">
        <v>31.890999999999998</v>
      </c>
      <c r="G87">
        <v>31.9267</v>
      </c>
      <c r="H87">
        <v>0.01</v>
      </c>
      <c r="I87">
        <v>0.01</v>
      </c>
      <c r="J87">
        <v>8.8000000000000005E-3</v>
      </c>
      <c r="K87">
        <v>8.6E-3</v>
      </c>
    </row>
    <row r="88" spans="1:11" x14ac:dyDescent="0.35">
      <c r="A88" t="s">
        <v>35</v>
      </c>
      <c r="B88">
        <v>1</v>
      </c>
      <c r="C88" t="s">
        <v>21</v>
      </c>
      <c r="D88">
        <v>14</v>
      </c>
      <c r="E88">
        <v>1</v>
      </c>
      <c r="F88">
        <v>23.710999999999999</v>
      </c>
      <c r="G88">
        <v>23.6554</v>
      </c>
      <c r="H88">
        <v>2.4</v>
      </c>
      <c r="I88">
        <v>2.5299999999999998</v>
      </c>
      <c r="J88">
        <v>2.3995000000000002</v>
      </c>
      <c r="K88">
        <v>2.4927000000000001</v>
      </c>
    </row>
    <row r="89" spans="1:11" x14ac:dyDescent="0.35">
      <c r="A89" t="s">
        <v>35</v>
      </c>
      <c r="B89">
        <v>1</v>
      </c>
      <c r="C89" t="s">
        <v>25</v>
      </c>
      <c r="D89">
        <v>9</v>
      </c>
      <c r="E89">
        <v>1</v>
      </c>
      <c r="F89">
        <v>32.142000000000003</v>
      </c>
      <c r="G89">
        <v>31.9267</v>
      </c>
      <c r="H89">
        <v>0.01</v>
      </c>
      <c r="I89">
        <v>0.01</v>
      </c>
      <c r="J89">
        <v>7.4000000000000003E-3</v>
      </c>
      <c r="K89">
        <v>8.6E-3</v>
      </c>
    </row>
    <row r="90" spans="1:11" x14ac:dyDescent="0.35">
      <c r="A90" t="s">
        <v>35</v>
      </c>
      <c r="B90">
        <v>1</v>
      </c>
      <c r="C90" t="s">
        <v>24</v>
      </c>
      <c r="D90">
        <v>8</v>
      </c>
      <c r="E90">
        <v>1</v>
      </c>
      <c r="F90">
        <v>31.870999999999999</v>
      </c>
      <c r="G90">
        <v>32.018000000000001</v>
      </c>
      <c r="H90">
        <v>0.01</v>
      </c>
      <c r="I90">
        <v>0.01</v>
      </c>
      <c r="J90">
        <v>8.9999999999999993E-3</v>
      </c>
      <c r="K90">
        <v>8.0999999999999996E-3</v>
      </c>
    </row>
    <row r="91" spans="1:11" x14ac:dyDescent="0.35">
      <c r="A91" t="s">
        <v>35</v>
      </c>
      <c r="B91">
        <v>1</v>
      </c>
      <c r="C91" t="s">
        <v>24</v>
      </c>
      <c r="D91">
        <v>8</v>
      </c>
      <c r="E91">
        <v>1</v>
      </c>
      <c r="F91">
        <v>32.164999999999999</v>
      </c>
      <c r="G91">
        <v>32.018000000000001</v>
      </c>
      <c r="H91">
        <v>0.01</v>
      </c>
      <c r="I91">
        <v>0.01</v>
      </c>
      <c r="J91">
        <v>7.3000000000000001E-3</v>
      </c>
      <c r="K91">
        <v>8.0999999999999996E-3</v>
      </c>
    </row>
    <row r="92" spans="1:11" x14ac:dyDescent="0.35">
      <c r="A92" t="s">
        <v>35</v>
      </c>
      <c r="B92">
        <v>1</v>
      </c>
      <c r="C92" t="s">
        <v>25</v>
      </c>
      <c r="D92">
        <v>9</v>
      </c>
      <c r="E92">
        <v>1</v>
      </c>
      <c r="F92">
        <v>32.137999999999998</v>
      </c>
      <c r="G92">
        <v>31.9267</v>
      </c>
      <c r="H92">
        <v>0.01</v>
      </c>
      <c r="I92">
        <v>0.01</v>
      </c>
      <c r="J92">
        <v>7.4999999999999997E-3</v>
      </c>
      <c r="K92">
        <v>8.6E-3</v>
      </c>
    </row>
    <row r="93" spans="1:11" x14ac:dyDescent="0.35">
      <c r="A93" t="s">
        <v>35</v>
      </c>
      <c r="B93">
        <v>1</v>
      </c>
      <c r="C93" t="s">
        <v>15</v>
      </c>
      <c r="D93">
        <v>11</v>
      </c>
      <c r="E93">
        <v>10</v>
      </c>
      <c r="F93">
        <v>24.454999999999998</v>
      </c>
      <c r="G93">
        <v>24.151499999999999</v>
      </c>
      <c r="H93">
        <v>14.42</v>
      </c>
      <c r="I93">
        <v>17.86</v>
      </c>
      <c r="J93">
        <v>14.412699999999999</v>
      </c>
      <c r="K93">
        <v>17.744</v>
      </c>
    </row>
    <row r="94" spans="1:11" x14ac:dyDescent="0.35">
      <c r="A94" t="s">
        <v>35</v>
      </c>
      <c r="B94">
        <v>1</v>
      </c>
      <c r="C94" t="s">
        <v>25</v>
      </c>
      <c r="D94">
        <v>9</v>
      </c>
      <c r="E94">
        <v>1</v>
      </c>
      <c r="F94">
        <v>31.824000000000002</v>
      </c>
      <c r="G94">
        <v>31.9267</v>
      </c>
      <c r="H94">
        <v>0.01</v>
      </c>
      <c r="I94">
        <v>0.01</v>
      </c>
      <c r="J94">
        <v>9.2999999999999992E-3</v>
      </c>
      <c r="K94">
        <v>8.6E-3</v>
      </c>
    </row>
    <row r="95" spans="1:11" x14ac:dyDescent="0.35">
      <c r="A95" t="s">
        <v>35</v>
      </c>
      <c r="B95">
        <v>1</v>
      </c>
      <c r="C95" t="s">
        <v>21</v>
      </c>
      <c r="D95">
        <v>14</v>
      </c>
      <c r="E95">
        <v>1</v>
      </c>
      <c r="F95">
        <v>23.992000000000001</v>
      </c>
      <c r="G95">
        <v>23.6554</v>
      </c>
      <c r="H95">
        <v>1.98</v>
      </c>
      <c r="I95">
        <v>2.5299999999999998</v>
      </c>
      <c r="J95">
        <v>1.9793000000000001</v>
      </c>
      <c r="K95">
        <v>2.4927000000000001</v>
      </c>
    </row>
    <row r="96" spans="1:11" x14ac:dyDescent="0.35">
      <c r="A96" t="s">
        <v>35</v>
      </c>
      <c r="B96">
        <v>1</v>
      </c>
      <c r="C96" t="s">
        <v>25</v>
      </c>
      <c r="D96">
        <v>9</v>
      </c>
      <c r="E96">
        <v>1</v>
      </c>
      <c r="F96">
        <v>31.625</v>
      </c>
      <c r="G96">
        <v>31.9267</v>
      </c>
      <c r="H96">
        <v>0.01</v>
      </c>
      <c r="I96">
        <v>0.01</v>
      </c>
      <c r="J96">
        <v>1.06E-2</v>
      </c>
      <c r="K96">
        <v>8.6E-3</v>
      </c>
    </row>
    <row r="97" spans="1:11" x14ac:dyDescent="0.35">
      <c r="A97" t="s">
        <v>35</v>
      </c>
      <c r="B97">
        <v>1</v>
      </c>
      <c r="C97" t="s">
        <v>25</v>
      </c>
      <c r="D97">
        <v>9</v>
      </c>
      <c r="E97">
        <v>1</v>
      </c>
      <c r="F97">
        <v>32.473999999999997</v>
      </c>
      <c r="G97">
        <v>31.9267</v>
      </c>
      <c r="H97">
        <v>0.01</v>
      </c>
      <c r="I97">
        <v>0.01</v>
      </c>
      <c r="J97">
        <v>5.8999999999999999E-3</v>
      </c>
      <c r="K97">
        <v>8.6E-3</v>
      </c>
    </row>
    <row r="98" spans="1:11" x14ac:dyDescent="0.35">
      <c r="A98" t="s">
        <v>34</v>
      </c>
      <c r="B98">
        <v>2</v>
      </c>
      <c r="C98" t="s">
        <v>0</v>
      </c>
      <c r="D98">
        <v>10</v>
      </c>
      <c r="E98">
        <v>10</v>
      </c>
      <c r="F98">
        <v>21.84</v>
      </c>
      <c r="G98">
        <v>22.058222222222199</v>
      </c>
      <c r="H98">
        <v>116.59</v>
      </c>
      <c r="I98">
        <v>101.35</v>
      </c>
      <c r="J98">
        <v>116.6061</v>
      </c>
      <c r="K98">
        <v>100.6874</v>
      </c>
    </row>
    <row r="99" spans="1:11" x14ac:dyDescent="0.35">
      <c r="A99" t="s">
        <v>34</v>
      </c>
      <c r="B99">
        <v>2</v>
      </c>
      <c r="C99" t="s">
        <v>15</v>
      </c>
      <c r="D99">
        <v>11</v>
      </c>
      <c r="E99">
        <v>10</v>
      </c>
      <c r="F99">
        <v>24.164000000000001</v>
      </c>
      <c r="G99">
        <v>24.411999999999999</v>
      </c>
      <c r="H99">
        <v>24.43</v>
      </c>
      <c r="I99">
        <v>20.81</v>
      </c>
      <c r="J99">
        <v>24.425599999999999</v>
      </c>
      <c r="K99">
        <v>20.672799999999999</v>
      </c>
    </row>
    <row r="100" spans="1:11" x14ac:dyDescent="0.35">
      <c r="A100" t="s">
        <v>34</v>
      </c>
      <c r="B100">
        <v>2</v>
      </c>
      <c r="C100" t="s">
        <v>22</v>
      </c>
      <c r="D100">
        <v>13</v>
      </c>
      <c r="E100">
        <v>1</v>
      </c>
      <c r="F100">
        <v>29.094999999999999</v>
      </c>
      <c r="G100">
        <v>29.061699999999998</v>
      </c>
      <c r="H100">
        <v>0.09</v>
      </c>
      <c r="I100">
        <v>0.09</v>
      </c>
      <c r="J100">
        <v>8.8599999999999998E-2</v>
      </c>
      <c r="K100">
        <v>9.06E-2</v>
      </c>
    </row>
    <row r="101" spans="1:11" x14ac:dyDescent="0.35">
      <c r="A101" t="s">
        <v>34</v>
      </c>
      <c r="B101">
        <v>2</v>
      </c>
      <c r="C101" t="s">
        <v>21</v>
      </c>
      <c r="D101">
        <v>14</v>
      </c>
      <c r="E101">
        <v>1</v>
      </c>
      <c r="F101">
        <v>24.035</v>
      </c>
      <c r="G101">
        <v>23.956</v>
      </c>
      <c r="H101">
        <v>2.66</v>
      </c>
      <c r="I101">
        <v>2.84</v>
      </c>
      <c r="J101">
        <v>2.6640000000000001</v>
      </c>
      <c r="K101">
        <v>2.8092999999999999</v>
      </c>
    </row>
    <row r="102" spans="1:11" x14ac:dyDescent="0.35">
      <c r="A102" t="s">
        <v>34</v>
      </c>
      <c r="B102">
        <v>2</v>
      </c>
      <c r="C102" t="s">
        <v>32</v>
      </c>
      <c r="D102">
        <v>1</v>
      </c>
      <c r="E102">
        <v>1</v>
      </c>
      <c r="F102">
        <v>14.162000000000001</v>
      </c>
      <c r="G102">
        <v>14.230499999999999</v>
      </c>
      <c r="H102">
        <v>2039.96</v>
      </c>
      <c r="I102">
        <v>1949.86</v>
      </c>
      <c r="J102">
        <v>2039.787</v>
      </c>
      <c r="K102">
        <v>1947.9368999999999</v>
      </c>
    </row>
    <row r="103" spans="1:11" x14ac:dyDescent="0.35">
      <c r="A103" t="s">
        <v>34</v>
      </c>
      <c r="B103">
        <v>2</v>
      </c>
      <c r="C103" t="s">
        <v>32</v>
      </c>
      <c r="D103">
        <v>1</v>
      </c>
      <c r="E103">
        <v>1</v>
      </c>
      <c r="F103">
        <v>14.298999999999999</v>
      </c>
      <c r="G103">
        <v>14.230499999999999</v>
      </c>
      <c r="H103">
        <v>1859.75</v>
      </c>
      <c r="I103">
        <v>1949.86</v>
      </c>
      <c r="J103">
        <v>1860.2228</v>
      </c>
      <c r="K103">
        <v>1947.9368999999999</v>
      </c>
    </row>
    <row r="104" spans="1:11" x14ac:dyDescent="0.35">
      <c r="A104" t="s">
        <v>34</v>
      </c>
      <c r="B104">
        <v>2</v>
      </c>
      <c r="C104" t="s">
        <v>19</v>
      </c>
      <c r="D104">
        <v>16</v>
      </c>
      <c r="E104">
        <v>10</v>
      </c>
      <c r="F104">
        <v>27.739000000000001</v>
      </c>
      <c r="G104">
        <v>27.7897</v>
      </c>
      <c r="H104">
        <v>2.2000000000000002</v>
      </c>
      <c r="I104">
        <v>2.16</v>
      </c>
      <c r="J104">
        <v>2.2056</v>
      </c>
      <c r="K104">
        <v>2.1316999999999999</v>
      </c>
    </row>
    <row r="105" spans="1:11" x14ac:dyDescent="0.35">
      <c r="A105" t="s">
        <v>34</v>
      </c>
      <c r="B105">
        <v>2</v>
      </c>
      <c r="C105" t="s">
        <v>0</v>
      </c>
      <c r="D105">
        <v>10</v>
      </c>
      <c r="E105">
        <v>10</v>
      </c>
      <c r="F105">
        <v>21.885999999999999</v>
      </c>
      <c r="G105">
        <v>22.058222222222199</v>
      </c>
      <c r="H105">
        <v>113.03</v>
      </c>
      <c r="I105">
        <v>101.35</v>
      </c>
      <c r="J105">
        <v>113.0535</v>
      </c>
      <c r="K105">
        <v>100.6874</v>
      </c>
    </row>
    <row r="106" spans="1:11" x14ac:dyDescent="0.35">
      <c r="A106" t="s">
        <v>34</v>
      </c>
      <c r="B106">
        <v>2</v>
      </c>
      <c r="C106" t="s">
        <v>15</v>
      </c>
      <c r="D106">
        <v>11</v>
      </c>
      <c r="E106">
        <v>10</v>
      </c>
      <c r="F106">
        <v>24.198</v>
      </c>
      <c r="G106">
        <v>24.411999999999999</v>
      </c>
      <c r="H106">
        <v>23.88</v>
      </c>
      <c r="I106">
        <v>20.81</v>
      </c>
      <c r="J106">
        <v>23.8733</v>
      </c>
      <c r="K106">
        <v>20.672799999999999</v>
      </c>
    </row>
    <row r="107" spans="1:11" x14ac:dyDescent="0.35">
      <c r="A107" t="s">
        <v>34</v>
      </c>
      <c r="B107">
        <v>2</v>
      </c>
      <c r="C107" t="s">
        <v>22</v>
      </c>
      <c r="D107">
        <v>13</v>
      </c>
      <c r="E107">
        <v>1</v>
      </c>
      <c r="F107">
        <v>28.902999999999999</v>
      </c>
      <c r="G107">
        <v>29.061699999999998</v>
      </c>
      <c r="H107">
        <v>0.1</v>
      </c>
      <c r="I107">
        <v>0.09</v>
      </c>
      <c r="J107">
        <v>0.1008</v>
      </c>
      <c r="K107">
        <v>9.06E-2</v>
      </c>
    </row>
    <row r="108" spans="1:11" x14ac:dyDescent="0.35">
      <c r="A108" t="s">
        <v>34</v>
      </c>
      <c r="B108">
        <v>2</v>
      </c>
      <c r="C108" t="s">
        <v>21</v>
      </c>
      <c r="D108">
        <v>14</v>
      </c>
      <c r="E108">
        <v>1</v>
      </c>
      <c r="F108">
        <v>24.416</v>
      </c>
      <c r="G108">
        <v>23.956</v>
      </c>
      <c r="H108">
        <v>2.06</v>
      </c>
      <c r="I108">
        <v>2.84</v>
      </c>
      <c r="J108">
        <v>2.0617000000000001</v>
      </c>
      <c r="K108">
        <v>2.8092999999999999</v>
      </c>
    </row>
    <row r="109" spans="1:11" x14ac:dyDescent="0.35">
      <c r="A109" t="s">
        <v>34</v>
      </c>
      <c r="B109">
        <v>2</v>
      </c>
      <c r="C109" t="s">
        <v>19</v>
      </c>
      <c r="D109">
        <v>16</v>
      </c>
      <c r="E109">
        <v>10</v>
      </c>
      <c r="F109">
        <v>28.085999999999999</v>
      </c>
      <c r="G109">
        <v>27.7897</v>
      </c>
      <c r="H109">
        <v>1.75</v>
      </c>
      <c r="I109">
        <v>2.16</v>
      </c>
      <c r="J109">
        <v>1.7464999999999999</v>
      </c>
      <c r="K109">
        <v>2.1316999999999999</v>
      </c>
    </row>
    <row r="110" spans="1:11" x14ac:dyDescent="0.35">
      <c r="A110" t="s">
        <v>34</v>
      </c>
      <c r="B110">
        <v>2</v>
      </c>
      <c r="C110" t="s">
        <v>0</v>
      </c>
      <c r="D110">
        <v>10</v>
      </c>
      <c r="E110">
        <v>10</v>
      </c>
      <c r="F110">
        <v>22.241</v>
      </c>
      <c r="G110">
        <v>22.058222222222199</v>
      </c>
      <c r="H110">
        <v>89.04</v>
      </c>
      <c r="I110">
        <v>101.35</v>
      </c>
      <c r="J110">
        <v>89.039599999999993</v>
      </c>
      <c r="K110">
        <v>100.6874</v>
      </c>
    </row>
    <row r="111" spans="1:11" x14ac:dyDescent="0.35">
      <c r="A111" t="s">
        <v>34</v>
      </c>
      <c r="B111">
        <v>2</v>
      </c>
      <c r="C111" t="s">
        <v>15</v>
      </c>
      <c r="D111">
        <v>11</v>
      </c>
      <c r="E111">
        <v>10</v>
      </c>
      <c r="F111">
        <v>24.408999999999999</v>
      </c>
      <c r="G111">
        <v>24.411999999999999</v>
      </c>
      <c r="H111">
        <v>20.71</v>
      </c>
      <c r="I111">
        <v>20.81</v>
      </c>
      <c r="J111">
        <v>20.714600000000001</v>
      </c>
      <c r="K111">
        <v>20.672799999999999</v>
      </c>
    </row>
    <row r="112" spans="1:11" x14ac:dyDescent="0.35">
      <c r="A112" t="s">
        <v>34</v>
      </c>
      <c r="B112">
        <v>2</v>
      </c>
      <c r="C112" t="s">
        <v>22</v>
      </c>
      <c r="D112">
        <v>13</v>
      </c>
      <c r="E112">
        <v>1</v>
      </c>
      <c r="F112">
        <v>29.146999999999998</v>
      </c>
      <c r="G112">
        <v>29.061699999999998</v>
      </c>
      <c r="H112">
        <v>0.09</v>
      </c>
      <c r="I112">
        <v>0.09</v>
      </c>
      <c r="J112">
        <v>8.5599999999999996E-2</v>
      </c>
      <c r="K112">
        <v>9.06E-2</v>
      </c>
    </row>
    <row r="113" spans="1:11" x14ac:dyDescent="0.35">
      <c r="A113" t="s">
        <v>34</v>
      </c>
      <c r="B113">
        <v>2</v>
      </c>
      <c r="C113" t="s">
        <v>21</v>
      </c>
      <c r="D113">
        <v>14</v>
      </c>
      <c r="E113">
        <v>1</v>
      </c>
      <c r="F113">
        <v>23.861999999999998</v>
      </c>
      <c r="G113">
        <v>23.956</v>
      </c>
      <c r="H113">
        <v>2.99</v>
      </c>
      <c r="I113">
        <v>2.84</v>
      </c>
      <c r="J113">
        <v>2.9927000000000001</v>
      </c>
      <c r="K113">
        <v>2.8092999999999999</v>
      </c>
    </row>
    <row r="114" spans="1:11" x14ac:dyDescent="0.35">
      <c r="A114" t="s">
        <v>34</v>
      </c>
      <c r="B114">
        <v>2</v>
      </c>
      <c r="C114" t="s">
        <v>31</v>
      </c>
      <c r="D114">
        <v>2</v>
      </c>
      <c r="E114">
        <v>1</v>
      </c>
      <c r="F114">
        <v>16.66</v>
      </c>
      <c r="G114">
        <v>16.553999999999998</v>
      </c>
      <c r="H114">
        <v>380.13</v>
      </c>
      <c r="I114">
        <v>409.24</v>
      </c>
      <c r="J114">
        <v>380.08440000000002</v>
      </c>
      <c r="K114">
        <v>408.173</v>
      </c>
    </row>
    <row r="115" spans="1:11" x14ac:dyDescent="0.35">
      <c r="A115" t="s">
        <v>34</v>
      </c>
      <c r="B115">
        <v>2</v>
      </c>
      <c r="C115" t="s">
        <v>31</v>
      </c>
      <c r="D115">
        <v>2</v>
      </c>
      <c r="E115">
        <v>1</v>
      </c>
      <c r="F115">
        <v>16.448</v>
      </c>
      <c r="G115">
        <v>16.553999999999998</v>
      </c>
      <c r="H115">
        <v>438.34</v>
      </c>
      <c r="I115">
        <v>409.24</v>
      </c>
      <c r="J115">
        <v>438.3374</v>
      </c>
      <c r="K115">
        <v>408.173</v>
      </c>
    </row>
    <row r="116" spans="1:11" x14ac:dyDescent="0.35">
      <c r="A116" t="s">
        <v>34</v>
      </c>
      <c r="B116">
        <v>2</v>
      </c>
      <c r="C116" t="s">
        <v>19</v>
      </c>
      <c r="D116">
        <v>16</v>
      </c>
      <c r="E116">
        <v>10</v>
      </c>
      <c r="F116">
        <v>27.538</v>
      </c>
      <c r="G116">
        <v>27.7897</v>
      </c>
      <c r="H116">
        <v>2.52</v>
      </c>
      <c r="I116">
        <v>2.16</v>
      </c>
      <c r="J116">
        <v>2.5249000000000001</v>
      </c>
      <c r="K116">
        <v>2.1316999999999999</v>
      </c>
    </row>
    <row r="117" spans="1:11" x14ac:dyDescent="0.35">
      <c r="A117" t="s">
        <v>34</v>
      </c>
      <c r="B117">
        <v>2</v>
      </c>
      <c r="C117" t="s">
        <v>0</v>
      </c>
      <c r="D117">
        <v>10</v>
      </c>
      <c r="E117">
        <v>10</v>
      </c>
      <c r="F117">
        <v>22.062000000000001</v>
      </c>
      <c r="G117">
        <v>22.058222222222199</v>
      </c>
      <c r="H117">
        <v>100.4</v>
      </c>
      <c r="I117">
        <v>101.35</v>
      </c>
      <c r="J117">
        <v>100.4319</v>
      </c>
      <c r="K117">
        <v>100.6874</v>
      </c>
    </row>
    <row r="118" spans="1:11" x14ac:dyDescent="0.35">
      <c r="A118" t="s">
        <v>34</v>
      </c>
      <c r="B118">
        <v>2</v>
      </c>
      <c r="C118" t="s">
        <v>15</v>
      </c>
      <c r="D118">
        <v>11</v>
      </c>
      <c r="E118">
        <v>10</v>
      </c>
      <c r="F118">
        <v>24.184999999999999</v>
      </c>
      <c r="G118">
        <v>24.411999999999999</v>
      </c>
      <c r="H118">
        <v>24.09</v>
      </c>
      <c r="I118">
        <v>20.81</v>
      </c>
      <c r="J118">
        <v>24.082999999999998</v>
      </c>
      <c r="K118">
        <v>20.672799999999999</v>
      </c>
    </row>
    <row r="119" spans="1:11" x14ac:dyDescent="0.35">
      <c r="A119" t="s">
        <v>34</v>
      </c>
      <c r="B119">
        <v>2</v>
      </c>
      <c r="C119" t="s">
        <v>22</v>
      </c>
      <c r="D119">
        <v>13</v>
      </c>
      <c r="E119">
        <v>1</v>
      </c>
      <c r="F119">
        <v>28.710999999999999</v>
      </c>
      <c r="G119">
        <v>29.061699999999998</v>
      </c>
      <c r="H119">
        <v>0.11</v>
      </c>
      <c r="I119">
        <v>0.09</v>
      </c>
      <c r="J119">
        <v>0.1147</v>
      </c>
      <c r="K119">
        <v>9.06E-2</v>
      </c>
    </row>
    <row r="120" spans="1:11" x14ac:dyDescent="0.35">
      <c r="A120" t="s">
        <v>34</v>
      </c>
      <c r="B120">
        <v>2</v>
      </c>
      <c r="C120" t="s">
        <v>21</v>
      </c>
      <c r="D120">
        <v>14</v>
      </c>
      <c r="E120">
        <v>1</v>
      </c>
      <c r="F120">
        <v>23.815999999999999</v>
      </c>
      <c r="G120">
        <v>23.956</v>
      </c>
      <c r="H120">
        <v>3.09</v>
      </c>
      <c r="I120">
        <v>2.84</v>
      </c>
      <c r="J120">
        <v>3.0867</v>
      </c>
      <c r="K120">
        <v>2.8092999999999999</v>
      </c>
    </row>
    <row r="121" spans="1:11" x14ac:dyDescent="0.35">
      <c r="A121" t="s">
        <v>34</v>
      </c>
      <c r="B121">
        <v>2</v>
      </c>
      <c r="C121" t="s">
        <v>19</v>
      </c>
      <c r="D121">
        <v>16</v>
      </c>
      <c r="E121">
        <v>10</v>
      </c>
      <c r="F121">
        <v>27.792999999999999</v>
      </c>
      <c r="G121">
        <v>27.7897</v>
      </c>
      <c r="H121">
        <v>2.13</v>
      </c>
      <c r="I121">
        <v>2.16</v>
      </c>
      <c r="J121">
        <v>2.1269</v>
      </c>
      <c r="K121">
        <v>2.1316999999999999</v>
      </c>
    </row>
    <row r="122" spans="1:11" x14ac:dyDescent="0.35">
      <c r="A122" t="s">
        <v>34</v>
      </c>
      <c r="B122">
        <v>2</v>
      </c>
      <c r="C122" t="s">
        <v>18</v>
      </c>
      <c r="D122">
        <v>12</v>
      </c>
      <c r="E122">
        <v>10</v>
      </c>
      <c r="F122">
        <v>26.215</v>
      </c>
      <c r="G122">
        <v>26.051600000000001</v>
      </c>
      <c r="H122">
        <v>6.15</v>
      </c>
      <c r="I122">
        <v>6.91</v>
      </c>
      <c r="J122">
        <v>6.1477000000000004</v>
      </c>
      <c r="K122">
        <v>6.8619000000000003</v>
      </c>
    </row>
    <row r="123" spans="1:11" x14ac:dyDescent="0.35">
      <c r="A123" t="s">
        <v>34</v>
      </c>
      <c r="B123">
        <v>2</v>
      </c>
      <c r="C123" t="s">
        <v>22</v>
      </c>
      <c r="D123">
        <v>13</v>
      </c>
      <c r="E123">
        <v>1</v>
      </c>
      <c r="F123">
        <v>28.98</v>
      </c>
      <c r="G123">
        <v>29.061699999999998</v>
      </c>
      <c r="H123">
        <v>0.1</v>
      </c>
      <c r="I123">
        <v>0.09</v>
      </c>
      <c r="J123">
        <v>9.5699999999999993E-2</v>
      </c>
      <c r="K123">
        <v>9.06E-2</v>
      </c>
    </row>
    <row r="124" spans="1:11" x14ac:dyDescent="0.35">
      <c r="A124" t="s">
        <v>34</v>
      </c>
      <c r="B124">
        <v>2</v>
      </c>
      <c r="C124" t="s">
        <v>20</v>
      </c>
      <c r="D124">
        <v>15</v>
      </c>
      <c r="E124">
        <v>1</v>
      </c>
      <c r="F124">
        <v>18.824000000000002</v>
      </c>
      <c r="G124">
        <v>19.1523</v>
      </c>
      <c r="H124">
        <v>88.69</v>
      </c>
      <c r="I124">
        <v>71.62</v>
      </c>
      <c r="J124">
        <v>88.662899999999993</v>
      </c>
      <c r="K124">
        <v>71.095200000000006</v>
      </c>
    </row>
    <row r="125" spans="1:11" x14ac:dyDescent="0.35">
      <c r="A125" t="s">
        <v>34</v>
      </c>
      <c r="B125">
        <v>2</v>
      </c>
      <c r="C125" t="s">
        <v>30</v>
      </c>
      <c r="D125">
        <v>3</v>
      </c>
      <c r="E125">
        <v>1</v>
      </c>
      <c r="F125">
        <v>18.954000000000001</v>
      </c>
      <c r="G125">
        <v>18.935500000000001</v>
      </c>
      <c r="H125">
        <v>81.23</v>
      </c>
      <c r="I125">
        <v>82.27</v>
      </c>
      <c r="J125">
        <v>81.239400000000003</v>
      </c>
      <c r="K125">
        <v>82.256699999999995</v>
      </c>
    </row>
    <row r="126" spans="1:11" x14ac:dyDescent="0.35">
      <c r="A126" t="s">
        <v>34</v>
      </c>
      <c r="B126">
        <v>2</v>
      </c>
      <c r="C126" t="s">
        <v>30</v>
      </c>
      <c r="D126">
        <v>3</v>
      </c>
      <c r="E126">
        <v>1</v>
      </c>
      <c r="F126">
        <v>18.917000000000002</v>
      </c>
      <c r="G126">
        <v>18.935500000000001</v>
      </c>
      <c r="H126">
        <v>83.3</v>
      </c>
      <c r="I126">
        <v>82.27</v>
      </c>
      <c r="J126">
        <v>83.286600000000007</v>
      </c>
      <c r="K126">
        <v>82.256699999999995</v>
      </c>
    </row>
    <row r="127" spans="1:11" x14ac:dyDescent="0.35">
      <c r="A127" t="s">
        <v>34</v>
      </c>
      <c r="B127">
        <v>2</v>
      </c>
      <c r="C127" t="s">
        <v>19</v>
      </c>
      <c r="D127">
        <v>16</v>
      </c>
      <c r="E127">
        <v>10</v>
      </c>
      <c r="F127">
        <v>27.523</v>
      </c>
      <c r="G127">
        <v>27.7897</v>
      </c>
      <c r="H127">
        <v>2.5499999999999998</v>
      </c>
      <c r="I127">
        <v>2.16</v>
      </c>
      <c r="J127">
        <v>2.5505</v>
      </c>
      <c r="K127">
        <v>2.1316999999999999</v>
      </c>
    </row>
    <row r="128" spans="1:11" x14ac:dyDescent="0.35">
      <c r="A128" t="s">
        <v>34</v>
      </c>
      <c r="B128">
        <v>2</v>
      </c>
      <c r="C128" t="s">
        <v>0</v>
      </c>
      <c r="D128">
        <v>10</v>
      </c>
      <c r="E128">
        <v>10</v>
      </c>
      <c r="F128">
        <v>21.934000000000001</v>
      </c>
      <c r="G128">
        <v>22.058222222222199</v>
      </c>
      <c r="H128">
        <v>109.44</v>
      </c>
      <c r="I128">
        <v>101.35</v>
      </c>
      <c r="J128">
        <v>109.4618</v>
      </c>
      <c r="K128">
        <v>100.6874</v>
      </c>
    </row>
    <row r="129" spans="1:11" x14ac:dyDescent="0.35">
      <c r="A129" t="s">
        <v>34</v>
      </c>
      <c r="B129">
        <v>2</v>
      </c>
      <c r="C129" t="s">
        <v>18</v>
      </c>
      <c r="D129">
        <v>12</v>
      </c>
      <c r="E129">
        <v>10</v>
      </c>
      <c r="F129">
        <v>25.931999999999999</v>
      </c>
      <c r="G129">
        <v>26.051600000000001</v>
      </c>
      <c r="H129">
        <v>7.44</v>
      </c>
      <c r="I129">
        <v>6.91</v>
      </c>
      <c r="J129">
        <v>7.4367999999999999</v>
      </c>
      <c r="K129">
        <v>6.8619000000000003</v>
      </c>
    </row>
    <row r="130" spans="1:11" x14ac:dyDescent="0.35">
      <c r="A130" t="s">
        <v>34</v>
      </c>
      <c r="B130">
        <v>2</v>
      </c>
      <c r="C130" t="s">
        <v>22</v>
      </c>
      <c r="D130">
        <v>13</v>
      </c>
      <c r="E130">
        <v>1</v>
      </c>
      <c r="F130">
        <v>28.850999999999999</v>
      </c>
      <c r="G130">
        <v>29.061699999999998</v>
      </c>
      <c r="H130">
        <v>0.1</v>
      </c>
      <c r="I130">
        <v>0.09</v>
      </c>
      <c r="J130">
        <v>0.10440000000000001</v>
      </c>
      <c r="K130">
        <v>9.06E-2</v>
      </c>
    </row>
    <row r="131" spans="1:11" x14ac:dyDescent="0.35">
      <c r="A131" t="s">
        <v>34</v>
      </c>
      <c r="B131">
        <v>2</v>
      </c>
      <c r="C131" t="s">
        <v>20</v>
      </c>
      <c r="D131">
        <v>15</v>
      </c>
      <c r="E131">
        <v>1</v>
      </c>
      <c r="F131">
        <v>19.277999999999999</v>
      </c>
      <c r="G131">
        <v>19.1523</v>
      </c>
      <c r="H131">
        <v>65.34</v>
      </c>
      <c r="I131">
        <v>71.62</v>
      </c>
      <c r="J131">
        <v>65.331299999999999</v>
      </c>
      <c r="K131">
        <v>71.095200000000006</v>
      </c>
    </row>
    <row r="132" spans="1:11" x14ac:dyDescent="0.35">
      <c r="A132" t="s">
        <v>34</v>
      </c>
      <c r="B132">
        <v>2</v>
      </c>
      <c r="C132" t="s">
        <v>19</v>
      </c>
      <c r="D132">
        <v>16</v>
      </c>
      <c r="E132">
        <v>10</v>
      </c>
      <c r="F132">
        <v>28.085999999999999</v>
      </c>
      <c r="G132">
        <v>27.7897</v>
      </c>
      <c r="H132">
        <v>1.75</v>
      </c>
      <c r="I132">
        <v>2.16</v>
      </c>
      <c r="J132">
        <v>1.7464999999999999</v>
      </c>
      <c r="K132">
        <v>2.1316999999999999</v>
      </c>
    </row>
    <row r="133" spans="1:11" x14ac:dyDescent="0.35">
      <c r="A133" t="s">
        <v>34</v>
      </c>
      <c r="B133">
        <v>2</v>
      </c>
      <c r="C133" t="s">
        <v>0</v>
      </c>
      <c r="D133">
        <v>10</v>
      </c>
      <c r="E133">
        <v>10</v>
      </c>
      <c r="F133">
        <v>22.222000000000001</v>
      </c>
      <c r="G133">
        <v>22.058222222222199</v>
      </c>
      <c r="H133">
        <v>90.19</v>
      </c>
      <c r="I133">
        <v>101.35</v>
      </c>
      <c r="J133">
        <v>90.184799999999996</v>
      </c>
      <c r="K133">
        <v>100.6874</v>
      </c>
    </row>
    <row r="134" spans="1:11" x14ac:dyDescent="0.35">
      <c r="A134" t="s">
        <v>34</v>
      </c>
      <c r="B134">
        <v>2</v>
      </c>
      <c r="C134" t="s">
        <v>18</v>
      </c>
      <c r="D134">
        <v>12</v>
      </c>
      <c r="E134">
        <v>10</v>
      </c>
      <c r="F134">
        <v>26.256</v>
      </c>
      <c r="G134">
        <v>26.051600000000001</v>
      </c>
      <c r="H134">
        <v>5.98</v>
      </c>
      <c r="I134">
        <v>6.91</v>
      </c>
      <c r="J134">
        <v>5.9805000000000001</v>
      </c>
      <c r="K134">
        <v>6.8619000000000003</v>
      </c>
    </row>
    <row r="135" spans="1:11" x14ac:dyDescent="0.35">
      <c r="A135" t="s">
        <v>34</v>
      </c>
      <c r="B135">
        <v>2</v>
      </c>
      <c r="C135" t="s">
        <v>22</v>
      </c>
      <c r="D135">
        <v>13</v>
      </c>
      <c r="E135">
        <v>1</v>
      </c>
      <c r="F135">
        <v>29.48</v>
      </c>
      <c r="G135">
        <v>29.061699999999998</v>
      </c>
      <c r="H135">
        <v>7.0000000000000007E-2</v>
      </c>
      <c r="I135">
        <v>0.09</v>
      </c>
      <c r="J135">
        <v>6.8400000000000002E-2</v>
      </c>
      <c r="K135">
        <v>9.06E-2</v>
      </c>
    </row>
    <row r="136" spans="1:11" x14ac:dyDescent="0.35">
      <c r="A136" t="s">
        <v>34</v>
      </c>
      <c r="B136">
        <v>2</v>
      </c>
      <c r="C136" t="s">
        <v>20</v>
      </c>
      <c r="D136">
        <v>15</v>
      </c>
      <c r="E136">
        <v>1</v>
      </c>
      <c r="F136">
        <v>19.202000000000002</v>
      </c>
      <c r="G136">
        <v>19.1523</v>
      </c>
      <c r="H136">
        <v>68.75</v>
      </c>
      <c r="I136">
        <v>71.62</v>
      </c>
      <c r="J136">
        <v>68.757800000000003</v>
      </c>
      <c r="K136">
        <v>71.095200000000006</v>
      </c>
    </row>
    <row r="137" spans="1:11" x14ac:dyDescent="0.35">
      <c r="A137" t="s">
        <v>34</v>
      </c>
      <c r="B137">
        <v>2</v>
      </c>
      <c r="C137" t="s">
        <v>29</v>
      </c>
      <c r="D137">
        <v>4</v>
      </c>
      <c r="E137">
        <v>1</v>
      </c>
      <c r="F137">
        <v>21.286000000000001</v>
      </c>
      <c r="G137">
        <v>21.349</v>
      </c>
      <c r="H137">
        <v>16.93</v>
      </c>
      <c r="I137">
        <v>16.239999999999998</v>
      </c>
      <c r="J137">
        <v>16.925999999999998</v>
      </c>
      <c r="K137">
        <v>16.223700000000001</v>
      </c>
    </row>
    <row r="138" spans="1:11" x14ac:dyDescent="0.35">
      <c r="A138" t="s">
        <v>34</v>
      </c>
      <c r="B138">
        <v>2</v>
      </c>
      <c r="C138" t="s">
        <v>29</v>
      </c>
      <c r="D138">
        <v>4</v>
      </c>
      <c r="E138">
        <v>1</v>
      </c>
      <c r="F138">
        <v>21.411999999999999</v>
      </c>
      <c r="G138">
        <v>21.349</v>
      </c>
      <c r="H138">
        <v>15.55</v>
      </c>
      <c r="I138">
        <v>16.239999999999998</v>
      </c>
      <c r="J138">
        <v>15.550599999999999</v>
      </c>
      <c r="K138">
        <v>16.223700000000001</v>
      </c>
    </row>
    <row r="139" spans="1:11" x14ac:dyDescent="0.35">
      <c r="A139" t="s">
        <v>34</v>
      </c>
      <c r="B139">
        <v>2</v>
      </c>
      <c r="C139" t="s">
        <v>19</v>
      </c>
      <c r="D139">
        <v>16</v>
      </c>
      <c r="E139">
        <v>10</v>
      </c>
      <c r="F139">
        <v>27.510999999999999</v>
      </c>
      <c r="G139">
        <v>27.7897</v>
      </c>
      <c r="H139">
        <v>2.57</v>
      </c>
      <c r="I139">
        <v>2.16</v>
      </c>
      <c r="J139">
        <v>2.5712000000000002</v>
      </c>
      <c r="K139">
        <v>2.1316999999999999</v>
      </c>
    </row>
    <row r="140" spans="1:11" x14ac:dyDescent="0.35">
      <c r="A140" t="s">
        <v>34</v>
      </c>
      <c r="B140">
        <v>2</v>
      </c>
      <c r="C140" t="s">
        <v>0</v>
      </c>
      <c r="D140">
        <v>10</v>
      </c>
      <c r="E140">
        <v>10</v>
      </c>
      <c r="F140">
        <v>21.934000000000001</v>
      </c>
      <c r="G140">
        <v>22.058222222222199</v>
      </c>
      <c r="H140">
        <v>109.49</v>
      </c>
      <c r="I140">
        <v>101.35</v>
      </c>
      <c r="J140">
        <v>109.4618</v>
      </c>
      <c r="K140">
        <v>100.6874</v>
      </c>
    </row>
    <row r="141" spans="1:11" x14ac:dyDescent="0.35">
      <c r="A141" t="s">
        <v>34</v>
      </c>
      <c r="B141">
        <v>2</v>
      </c>
      <c r="C141" t="s">
        <v>18</v>
      </c>
      <c r="D141">
        <v>12</v>
      </c>
      <c r="E141">
        <v>10</v>
      </c>
      <c r="F141">
        <v>25.859000000000002</v>
      </c>
      <c r="G141">
        <v>26.051600000000001</v>
      </c>
      <c r="H141">
        <v>7.81</v>
      </c>
      <c r="I141">
        <v>6.91</v>
      </c>
      <c r="J141">
        <v>7.8109999999999999</v>
      </c>
      <c r="K141">
        <v>6.8619000000000003</v>
      </c>
    </row>
    <row r="142" spans="1:11" x14ac:dyDescent="0.35">
      <c r="A142" t="s">
        <v>34</v>
      </c>
      <c r="B142">
        <v>2</v>
      </c>
      <c r="C142" t="s">
        <v>22</v>
      </c>
      <c r="D142">
        <v>13</v>
      </c>
      <c r="E142">
        <v>1</v>
      </c>
      <c r="F142">
        <v>29.202999999999999</v>
      </c>
      <c r="G142">
        <v>29.061699999999998</v>
      </c>
      <c r="H142">
        <v>0.08</v>
      </c>
      <c r="I142">
        <v>0.09</v>
      </c>
      <c r="J142">
        <v>8.2400000000000001E-2</v>
      </c>
      <c r="K142">
        <v>9.06E-2</v>
      </c>
    </row>
    <row r="143" spans="1:11" x14ac:dyDescent="0.35">
      <c r="A143" t="s">
        <v>34</v>
      </c>
      <c r="B143">
        <v>2</v>
      </c>
      <c r="C143" t="s">
        <v>20</v>
      </c>
      <c r="D143">
        <v>15</v>
      </c>
      <c r="E143">
        <v>1</v>
      </c>
      <c r="F143">
        <v>19.311</v>
      </c>
      <c r="G143">
        <v>19.1523</v>
      </c>
      <c r="H143">
        <v>63.89</v>
      </c>
      <c r="I143">
        <v>71.62</v>
      </c>
      <c r="J143">
        <v>63.897199999999998</v>
      </c>
      <c r="K143">
        <v>71.095200000000006</v>
      </c>
    </row>
    <row r="144" spans="1:11" x14ac:dyDescent="0.35">
      <c r="A144" t="s">
        <v>34</v>
      </c>
      <c r="B144">
        <v>2</v>
      </c>
      <c r="C144" t="s">
        <v>19</v>
      </c>
      <c r="D144">
        <v>16</v>
      </c>
      <c r="E144">
        <v>10</v>
      </c>
      <c r="F144">
        <v>28.001999999999999</v>
      </c>
      <c r="G144">
        <v>27.7897</v>
      </c>
      <c r="H144">
        <v>1.85</v>
      </c>
      <c r="I144">
        <v>2.16</v>
      </c>
      <c r="J144">
        <v>1.8480000000000001</v>
      </c>
      <c r="K144">
        <v>2.1316999999999999</v>
      </c>
    </row>
    <row r="145" spans="1:11" x14ac:dyDescent="0.35">
      <c r="A145" t="s">
        <v>34</v>
      </c>
      <c r="B145">
        <v>2</v>
      </c>
      <c r="C145" t="s">
        <v>0</v>
      </c>
      <c r="D145">
        <v>10</v>
      </c>
      <c r="E145">
        <v>10</v>
      </c>
      <c r="F145">
        <v>22.369</v>
      </c>
      <c r="G145">
        <v>22.058222222222199</v>
      </c>
      <c r="H145">
        <v>81.709999999999994</v>
      </c>
      <c r="I145">
        <v>101.35</v>
      </c>
      <c r="J145">
        <v>81.694400000000002</v>
      </c>
      <c r="K145">
        <v>100.6874</v>
      </c>
    </row>
    <row r="146" spans="1:11" x14ac:dyDescent="0.35">
      <c r="A146" t="s">
        <v>34</v>
      </c>
      <c r="B146">
        <v>2</v>
      </c>
      <c r="C146" t="s">
        <v>18</v>
      </c>
      <c r="D146">
        <v>12</v>
      </c>
      <c r="E146">
        <v>10</v>
      </c>
      <c r="F146">
        <v>26.219000000000001</v>
      </c>
      <c r="G146">
        <v>26.051600000000001</v>
      </c>
      <c r="H146">
        <v>6.13</v>
      </c>
      <c r="I146">
        <v>6.91</v>
      </c>
      <c r="J146">
        <v>6.1311999999999998</v>
      </c>
      <c r="K146">
        <v>6.8619000000000003</v>
      </c>
    </row>
    <row r="147" spans="1:11" x14ac:dyDescent="0.35">
      <c r="A147" t="s">
        <v>34</v>
      </c>
      <c r="B147">
        <v>2</v>
      </c>
      <c r="C147" t="s">
        <v>22</v>
      </c>
      <c r="D147">
        <v>13</v>
      </c>
      <c r="E147">
        <v>1</v>
      </c>
      <c r="F147">
        <v>29.155000000000001</v>
      </c>
      <c r="G147">
        <v>29.061699999999998</v>
      </c>
      <c r="H147">
        <v>0.09</v>
      </c>
      <c r="I147">
        <v>0.09</v>
      </c>
      <c r="J147">
        <v>8.5099999999999995E-2</v>
      </c>
      <c r="K147">
        <v>9.06E-2</v>
      </c>
    </row>
    <row r="148" spans="1:11" x14ac:dyDescent="0.35">
      <c r="A148" t="s">
        <v>34</v>
      </c>
      <c r="B148">
        <v>2</v>
      </c>
      <c r="C148" t="s">
        <v>20</v>
      </c>
      <c r="D148">
        <v>15</v>
      </c>
      <c r="E148">
        <v>1</v>
      </c>
      <c r="F148">
        <v>19.059999999999999</v>
      </c>
      <c r="G148">
        <v>19.1523</v>
      </c>
      <c r="H148">
        <v>75.650000000000006</v>
      </c>
      <c r="I148">
        <v>71.62</v>
      </c>
      <c r="J148">
        <v>75.648899999999998</v>
      </c>
      <c r="K148">
        <v>71.095200000000006</v>
      </c>
    </row>
    <row r="149" spans="1:11" x14ac:dyDescent="0.35">
      <c r="A149" t="s">
        <v>34</v>
      </c>
      <c r="B149">
        <v>2</v>
      </c>
      <c r="C149" t="s">
        <v>28</v>
      </c>
      <c r="D149">
        <v>5</v>
      </c>
      <c r="E149">
        <v>1</v>
      </c>
      <c r="F149">
        <v>23.64</v>
      </c>
      <c r="G149">
        <v>23.696999999999999</v>
      </c>
      <c r="H149">
        <v>3.47</v>
      </c>
      <c r="I149">
        <v>3.35</v>
      </c>
      <c r="J149">
        <v>3.4746999999999999</v>
      </c>
      <c r="K149">
        <v>3.3439999999999999</v>
      </c>
    </row>
    <row r="150" spans="1:11" x14ac:dyDescent="0.35">
      <c r="A150" t="s">
        <v>34</v>
      </c>
      <c r="B150">
        <v>2</v>
      </c>
      <c r="C150" t="s">
        <v>28</v>
      </c>
      <c r="D150">
        <v>5</v>
      </c>
      <c r="E150">
        <v>1</v>
      </c>
      <c r="F150">
        <v>23.754000000000001</v>
      </c>
      <c r="G150">
        <v>23.696999999999999</v>
      </c>
      <c r="H150">
        <v>3.22</v>
      </c>
      <c r="I150">
        <v>3.35</v>
      </c>
      <c r="J150">
        <v>3.2181999999999999</v>
      </c>
      <c r="K150">
        <v>3.3439999999999999</v>
      </c>
    </row>
    <row r="151" spans="1:11" x14ac:dyDescent="0.35">
      <c r="A151" t="s">
        <v>34</v>
      </c>
      <c r="B151">
        <v>2</v>
      </c>
      <c r="C151" t="s">
        <v>19</v>
      </c>
      <c r="D151">
        <v>16</v>
      </c>
      <c r="E151">
        <v>10</v>
      </c>
      <c r="F151">
        <v>27.576000000000001</v>
      </c>
      <c r="G151">
        <v>27.7897</v>
      </c>
      <c r="H151">
        <v>2.46</v>
      </c>
      <c r="I151">
        <v>2.16</v>
      </c>
      <c r="J151">
        <v>2.4611999999999998</v>
      </c>
      <c r="K151">
        <v>2.1316999999999999</v>
      </c>
    </row>
    <row r="152" spans="1:11" x14ac:dyDescent="0.35">
      <c r="A152" t="s">
        <v>34</v>
      </c>
      <c r="B152">
        <v>2</v>
      </c>
      <c r="C152" t="s">
        <v>0</v>
      </c>
      <c r="D152">
        <v>10</v>
      </c>
      <c r="E152">
        <v>10</v>
      </c>
      <c r="F152">
        <v>22.036000000000001</v>
      </c>
      <c r="G152">
        <v>22.058222222222199</v>
      </c>
      <c r="H152">
        <v>102.23</v>
      </c>
      <c r="I152">
        <v>101.35</v>
      </c>
      <c r="J152">
        <v>102.2037</v>
      </c>
      <c r="K152">
        <v>100.6874</v>
      </c>
    </row>
    <row r="153" spans="1:11" x14ac:dyDescent="0.35">
      <c r="A153" t="s">
        <v>34</v>
      </c>
      <c r="B153">
        <v>2</v>
      </c>
      <c r="C153" t="s">
        <v>18</v>
      </c>
      <c r="D153">
        <v>12</v>
      </c>
      <c r="E153">
        <v>10</v>
      </c>
      <c r="F153">
        <v>26.01</v>
      </c>
      <c r="G153">
        <v>26.051600000000001</v>
      </c>
      <c r="H153">
        <v>7.05</v>
      </c>
      <c r="I153">
        <v>6.91</v>
      </c>
      <c r="J153">
        <v>7.0567000000000002</v>
      </c>
      <c r="K153">
        <v>6.8619000000000003</v>
      </c>
    </row>
    <row r="154" spans="1:11" x14ac:dyDescent="0.35">
      <c r="A154" t="s">
        <v>34</v>
      </c>
      <c r="B154">
        <v>2</v>
      </c>
      <c r="C154" t="s">
        <v>22</v>
      </c>
      <c r="D154">
        <v>13</v>
      </c>
      <c r="E154">
        <v>1</v>
      </c>
      <c r="F154">
        <v>29.091999999999999</v>
      </c>
      <c r="G154">
        <v>29.061699999999998</v>
      </c>
      <c r="H154">
        <v>0.09</v>
      </c>
      <c r="I154">
        <v>0.09</v>
      </c>
      <c r="J154">
        <v>8.8800000000000004E-2</v>
      </c>
      <c r="K154">
        <v>9.06E-2</v>
      </c>
    </row>
    <row r="155" spans="1:11" x14ac:dyDescent="0.35">
      <c r="A155" t="s">
        <v>34</v>
      </c>
      <c r="B155">
        <v>2</v>
      </c>
      <c r="C155" t="s">
        <v>20</v>
      </c>
      <c r="D155">
        <v>15</v>
      </c>
      <c r="E155">
        <v>1</v>
      </c>
      <c r="F155">
        <v>19.379000000000001</v>
      </c>
      <c r="G155">
        <v>19.1523</v>
      </c>
      <c r="H155">
        <v>61.05</v>
      </c>
      <c r="I155">
        <v>71.62</v>
      </c>
      <c r="J155">
        <v>61.040500000000002</v>
      </c>
      <c r="K155">
        <v>71.095200000000006</v>
      </c>
    </row>
    <row r="156" spans="1:11" x14ac:dyDescent="0.35">
      <c r="A156" t="s">
        <v>34</v>
      </c>
      <c r="B156">
        <v>2</v>
      </c>
      <c r="C156" t="s">
        <v>19</v>
      </c>
      <c r="D156">
        <v>16</v>
      </c>
      <c r="E156">
        <v>10</v>
      </c>
      <c r="F156">
        <v>28.042999999999999</v>
      </c>
      <c r="G156">
        <v>27.7897</v>
      </c>
      <c r="H156">
        <v>1.8</v>
      </c>
      <c r="I156">
        <v>2.16</v>
      </c>
      <c r="J156">
        <v>1.7977000000000001</v>
      </c>
      <c r="K156">
        <v>2.1316999999999999</v>
      </c>
    </row>
    <row r="157" spans="1:11" x14ac:dyDescent="0.35">
      <c r="A157" t="s">
        <v>34</v>
      </c>
      <c r="B157">
        <v>2</v>
      </c>
      <c r="C157" t="s">
        <v>15</v>
      </c>
      <c r="D157">
        <v>11</v>
      </c>
      <c r="E157">
        <v>10</v>
      </c>
      <c r="F157">
        <v>24.536000000000001</v>
      </c>
      <c r="G157">
        <v>24.411999999999999</v>
      </c>
      <c r="H157">
        <v>19.02</v>
      </c>
      <c r="I157">
        <v>20.81</v>
      </c>
      <c r="J157">
        <v>19.018599999999999</v>
      </c>
      <c r="K157">
        <v>20.672799999999999</v>
      </c>
    </row>
    <row r="158" spans="1:11" x14ac:dyDescent="0.35">
      <c r="A158" t="s">
        <v>34</v>
      </c>
      <c r="B158">
        <v>2</v>
      </c>
      <c r="C158" t="s">
        <v>18</v>
      </c>
      <c r="D158">
        <v>12</v>
      </c>
      <c r="E158">
        <v>10</v>
      </c>
      <c r="F158">
        <v>26.084</v>
      </c>
      <c r="G158">
        <v>26.051600000000001</v>
      </c>
      <c r="H158">
        <v>6.71</v>
      </c>
      <c r="I158">
        <v>6.91</v>
      </c>
      <c r="J158">
        <v>6.7140000000000004</v>
      </c>
      <c r="K158">
        <v>6.8619000000000003</v>
      </c>
    </row>
    <row r="159" spans="1:11" x14ac:dyDescent="0.35">
      <c r="A159" t="s">
        <v>34</v>
      </c>
      <c r="B159">
        <v>2</v>
      </c>
      <c r="C159" t="s">
        <v>21</v>
      </c>
      <c r="D159">
        <v>14</v>
      </c>
      <c r="E159">
        <v>1</v>
      </c>
      <c r="F159">
        <v>24.114000000000001</v>
      </c>
      <c r="G159">
        <v>23.956</v>
      </c>
      <c r="H159">
        <v>2.5299999999999998</v>
      </c>
      <c r="I159">
        <v>2.84</v>
      </c>
      <c r="J159">
        <v>2.5261</v>
      </c>
      <c r="K159">
        <v>2.8092999999999999</v>
      </c>
    </row>
    <row r="160" spans="1:11" x14ac:dyDescent="0.35">
      <c r="A160" t="s">
        <v>34</v>
      </c>
      <c r="B160">
        <v>2</v>
      </c>
      <c r="C160" t="s">
        <v>20</v>
      </c>
      <c r="D160">
        <v>15</v>
      </c>
      <c r="E160">
        <v>1</v>
      </c>
      <c r="F160">
        <v>18.870999999999999</v>
      </c>
      <c r="G160">
        <v>19.1523</v>
      </c>
      <c r="H160">
        <v>85.9</v>
      </c>
      <c r="I160">
        <v>71.62</v>
      </c>
      <c r="J160">
        <v>85.903800000000004</v>
      </c>
      <c r="K160">
        <v>71.095200000000006</v>
      </c>
    </row>
    <row r="161" spans="1:11" x14ac:dyDescent="0.35">
      <c r="A161" t="s">
        <v>34</v>
      </c>
      <c r="B161">
        <v>2</v>
      </c>
      <c r="C161" t="s">
        <v>27</v>
      </c>
      <c r="D161">
        <v>6</v>
      </c>
      <c r="E161">
        <v>1</v>
      </c>
      <c r="F161">
        <v>26.405999999999999</v>
      </c>
      <c r="G161">
        <v>26.4285</v>
      </c>
      <c r="H161">
        <v>0.54</v>
      </c>
      <c r="I161">
        <v>0.53</v>
      </c>
      <c r="J161">
        <v>0.54069999999999996</v>
      </c>
      <c r="K161">
        <v>0.53249999999999997</v>
      </c>
    </row>
    <row r="162" spans="1:11" x14ac:dyDescent="0.35">
      <c r="A162" t="s">
        <v>34</v>
      </c>
      <c r="B162">
        <v>2</v>
      </c>
      <c r="C162" t="s">
        <v>27</v>
      </c>
      <c r="D162">
        <v>6</v>
      </c>
      <c r="E162">
        <v>1</v>
      </c>
      <c r="F162">
        <v>26.451000000000001</v>
      </c>
      <c r="G162">
        <v>26.4285</v>
      </c>
      <c r="H162">
        <v>0.52</v>
      </c>
      <c r="I162">
        <v>0.53</v>
      </c>
      <c r="J162">
        <v>0.52449999999999997</v>
      </c>
      <c r="K162">
        <v>0.53249999999999997</v>
      </c>
    </row>
    <row r="163" spans="1:11" x14ac:dyDescent="0.35">
      <c r="A163" t="s">
        <v>34</v>
      </c>
      <c r="B163">
        <v>2</v>
      </c>
      <c r="C163" t="s">
        <v>25</v>
      </c>
      <c r="D163">
        <v>9</v>
      </c>
      <c r="E163">
        <v>1</v>
      </c>
      <c r="F163">
        <v>32.487000000000002</v>
      </c>
      <c r="G163">
        <v>32.89</v>
      </c>
      <c r="H163">
        <v>0.01</v>
      </c>
      <c r="I163">
        <v>0.01</v>
      </c>
      <c r="J163">
        <v>8.9999999999999993E-3</v>
      </c>
      <c r="K163">
        <v>6.8999999999999999E-3</v>
      </c>
    </row>
    <row r="164" spans="1:11" x14ac:dyDescent="0.35">
      <c r="A164" t="s">
        <v>34</v>
      </c>
      <c r="B164">
        <v>2</v>
      </c>
      <c r="C164" t="s">
        <v>15</v>
      </c>
      <c r="D164">
        <v>11</v>
      </c>
      <c r="E164">
        <v>10</v>
      </c>
      <c r="F164">
        <v>24.396999999999998</v>
      </c>
      <c r="G164">
        <v>24.411999999999999</v>
      </c>
      <c r="H164">
        <v>20.89</v>
      </c>
      <c r="I164">
        <v>20.81</v>
      </c>
      <c r="J164">
        <v>20.8825</v>
      </c>
      <c r="K164">
        <v>20.672799999999999</v>
      </c>
    </row>
    <row r="165" spans="1:11" x14ac:dyDescent="0.35">
      <c r="A165" t="s">
        <v>34</v>
      </c>
      <c r="B165">
        <v>2</v>
      </c>
      <c r="C165" t="s">
        <v>18</v>
      </c>
      <c r="D165">
        <v>12</v>
      </c>
      <c r="E165">
        <v>10</v>
      </c>
      <c r="F165">
        <v>26.302</v>
      </c>
      <c r="G165">
        <v>26.051600000000001</v>
      </c>
      <c r="H165">
        <v>5.8</v>
      </c>
      <c r="I165">
        <v>6.91</v>
      </c>
      <c r="J165">
        <v>5.7983000000000002</v>
      </c>
      <c r="K165">
        <v>6.8619000000000003</v>
      </c>
    </row>
    <row r="166" spans="1:11" x14ac:dyDescent="0.35">
      <c r="A166" t="s">
        <v>34</v>
      </c>
      <c r="B166">
        <v>2</v>
      </c>
      <c r="C166" t="s">
        <v>21</v>
      </c>
      <c r="D166">
        <v>14</v>
      </c>
      <c r="E166">
        <v>1</v>
      </c>
      <c r="F166">
        <v>23.687000000000001</v>
      </c>
      <c r="G166">
        <v>23.956</v>
      </c>
      <c r="H166">
        <v>3.37</v>
      </c>
      <c r="I166">
        <v>2.84</v>
      </c>
      <c r="J166">
        <v>3.3664999999999998</v>
      </c>
      <c r="K166">
        <v>2.8092999999999999</v>
      </c>
    </row>
    <row r="167" spans="1:11" x14ac:dyDescent="0.35">
      <c r="A167" t="s">
        <v>34</v>
      </c>
      <c r="B167">
        <v>2</v>
      </c>
      <c r="C167" t="s">
        <v>20</v>
      </c>
      <c r="D167">
        <v>15</v>
      </c>
      <c r="E167">
        <v>1</v>
      </c>
      <c r="F167">
        <v>19.306999999999999</v>
      </c>
      <c r="G167">
        <v>19.1523</v>
      </c>
      <c r="H167">
        <v>64.06</v>
      </c>
      <c r="I167">
        <v>71.62</v>
      </c>
      <c r="J167">
        <v>64.069299999999998</v>
      </c>
      <c r="K167">
        <v>71.095200000000006</v>
      </c>
    </row>
    <row r="168" spans="1:11" x14ac:dyDescent="0.35">
      <c r="A168" t="s">
        <v>34</v>
      </c>
      <c r="B168">
        <v>2</v>
      </c>
      <c r="C168" t="s">
        <v>25</v>
      </c>
      <c r="D168">
        <v>9</v>
      </c>
      <c r="E168">
        <v>1</v>
      </c>
      <c r="F168">
        <v>33.118000000000002</v>
      </c>
      <c r="G168">
        <v>32.89</v>
      </c>
      <c r="H168">
        <v>0.01</v>
      </c>
      <c r="I168">
        <v>0.01</v>
      </c>
      <c r="J168">
        <v>5.8999999999999999E-3</v>
      </c>
      <c r="K168">
        <v>6.8999999999999999E-3</v>
      </c>
    </row>
    <row r="169" spans="1:11" x14ac:dyDescent="0.35">
      <c r="A169" t="s">
        <v>34</v>
      </c>
      <c r="B169">
        <v>2</v>
      </c>
      <c r="C169" t="s">
        <v>15</v>
      </c>
      <c r="D169">
        <v>11</v>
      </c>
      <c r="E169">
        <v>10</v>
      </c>
      <c r="F169">
        <v>24.658000000000001</v>
      </c>
      <c r="G169">
        <v>24.411999999999999</v>
      </c>
      <c r="H169">
        <v>17.53</v>
      </c>
      <c r="I169">
        <v>20.81</v>
      </c>
      <c r="J169">
        <v>17.520199999999999</v>
      </c>
      <c r="K169">
        <v>20.672799999999999</v>
      </c>
    </row>
    <row r="170" spans="1:11" x14ac:dyDescent="0.35">
      <c r="A170" t="s">
        <v>34</v>
      </c>
      <c r="B170">
        <v>2</v>
      </c>
      <c r="C170" t="s">
        <v>18</v>
      </c>
      <c r="D170">
        <v>12</v>
      </c>
      <c r="E170">
        <v>10</v>
      </c>
      <c r="F170">
        <v>25.864000000000001</v>
      </c>
      <c r="G170">
        <v>26.051600000000001</v>
      </c>
      <c r="H170">
        <v>7.78</v>
      </c>
      <c r="I170">
        <v>6.91</v>
      </c>
      <c r="J170">
        <v>7.7847999999999997</v>
      </c>
      <c r="K170">
        <v>6.8619000000000003</v>
      </c>
    </row>
    <row r="171" spans="1:11" x14ac:dyDescent="0.35">
      <c r="A171" t="s">
        <v>34</v>
      </c>
      <c r="B171">
        <v>2</v>
      </c>
      <c r="C171" t="s">
        <v>21</v>
      </c>
      <c r="D171">
        <v>14</v>
      </c>
      <c r="E171">
        <v>1</v>
      </c>
      <c r="F171">
        <v>23.736000000000001</v>
      </c>
      <c r="G171">
        <v>23.956</v>
      </c>
      <c r="H171">
        <v>3.26</v>
      </c>
      <c r="I171">
        <v>2.84</v>
      </c>
      <c r="J171">
        <v>3.2574000000000001</v>
      </c>
      <c r="K171">
        <v>2.8092999999999999</v>
      </c>
    </row>
    <row r="172" spans="1:11" x14ac:dyDescent="0.35">
      <c r="A172" t="s">
        <v>34</v>
      </c>
      <c r="B172">
        <v>2</v>
      </c>
      <c r="C172" t="s">
        <v>20</v>
      </c>
      <c r="D172">
        <v>15</v>
      </c>
      <c r="E172">
        <v>1</v>
      </c>
      <c r="F172">
        <v>19.14</v>
      </c>
      <c r="G172">
        <v>19.1523</v>
      </c>
      <c r="H172">
        <v>71.709999999999994</v>
      </c>
      <c r="I172">
        <v>71.62</v>
      </c>
      <c r="J172">
        <v>71.6858</v>
      </c>
      <c r="K172">
        <v>71.095200000000006</v>
      </c>
    </row>
    <row r="173" spans="1:11" x14ac:dyDescent="0.35">
      <c r="A173" t="s">
        <v>34</v>
      </c>
      <c r="B173">
        <v>2</v>
      </c>
      <c r="C173" t="s">
        <v>26</v>
      </c>
      <c r="D173">
        <v>7</v>
      </c>
      <c r="E173">
        <v>1</v>
      </c>
      <c r="F173">
        <v>28.399000000000001</v>
      </c>
      <c r="G173">
        <v>28.393000000000001</v>
      </c>
      <c r="H173">
        <v>0.14000000000000001</v>
      </c>
      <c r="I173">
        <v>0.14000000000000001</v>
      </c>
      <c r="J173">
        <v>0.14149999999999999</v>
      </c>
      <c r="K173">
        <v>0.1421</v>
      </c>
    </row>
    <row r="174" spans="1:11" x14ac:dyDescent="0.35">
      <c r="A174" t="s">
        <v>34</v>
      </c>
      <c r="B174">
        <v>2</v>
      </c>
      <c r="C174" t="s">
        <v>26</v>
      </c>
      <c r="D174">
        <v>7</v>
      </c>
      <c r="E174">
        <v>1</v>
      </c>
      <c r="F174">
        <v>28.387</v>
      </c>
      <c r="G174">
        <v>28.393000000000001</v>
      </c>
      <c r="H174">
        <v>0.14000000000000001</v>
      </c>
      <c r="I174">
        <v>0.14000000000000001</v>
      </c>
      <c r="J174">
        <v>0.1426</v>
      </c>
      <c r="K174">
        <v>0.1421</v>
      </c>
    </row>
    <row r="175" spans="1:11" x14ac:dyDescent="0.35">
      <c r="A175" t="s">
        <v>34</v>
      </c>
      <c r="B175">
        <v>2</v>
      </c>
      <c r="C175" t="s">
        <v>25</v>
      </c>
      <c r="D175">
        <v>9</v>
      </c>
      <c r="E175">
        <v>1</v>
      </c>
      <c r="F175">
        <v>32.106999999999999</v>
      </c>
      <c r="G175">
        <v>32.89</v>
      </c>
      <c r="H175">
        <v>0.01</v>
      </c>
      <c r="I175">
        <v>0.01</v>
      </c>
      <c r="J175">
        <v>1.17E-2</v>
      </c>
      <c r="K175">
        <v>6.8999999999999999E-3</v>
      </c>
    </row>
    <row r="176" spans="1:11" x14ac:dyDescent="0.35">
      <c r="A176" t="s">
        <v>34</v>
      </c>
      <c r="B176">
        <v>2</v>
      </c>
      <c r="C176" t="s">
        <v>15</v>
      </c>
      <c r="D176">
        <v>11</v>
      </c>
      <c r="E176">
        <v>10</v>
      </c>
      <c r="F176">
        <v>24.431000000000001</v>
      </c>
      <c r="G176">
        <v>24.411999999999999</v>
      </c>
      <c r="H176">
        <v>20.41</v>
      </c>
      <c r="I176">
        <v>20.81</v>
      </c>
      <c r="J176">
        <v>20.410299999999999</v>
      </c>
      <c r="K176">
        <v>20.672799999999999</v>
      </c>
    </row>
    <row r="177" spans="1:11" x14ac:dyDescent="0.35">
      <c r="A177" t="s">
        <v>34</v>
      </c>
      <c r="B177">
        <v>2</v>
      </c>
      <c r="C177" t="s">
        <v>18</v>
      </c>
      <c r="D177">
        <v>12</v>
      </c>
      <c r="E177">
        <v>10</v>
      </c>
      <c r="F177">
        <v>25.774999999999999</v>
      </c>
      <c r="G177">
        <v>26.051600000000001</v>
      </c>
      <c r="H177">
        <v>8.27</v>
      </c>
      <c r="I177">
        <v>6.91</v>
      </c>
      <c r="J177">
        <v>8.2651000000000003</v>
      </c>
      <c r="K177">
        <v>6.8619000000000003</v>
      </c>
    </row>
    <row r="178" spans="1:11" x14ac:dyDescent="0.35">
      <c r="A178" t="s">
        <v>34</v>
      </c>
      <c r="B178">
        <v>2</v>
      </c>
      <c r="C178" t="s">
        <v>21</v>
      </c>
      <c r="D178">
        <v>14</v>
      </c>
      <c r="E178">
        <v>1</v>
      </c>
      <c r="F178">
        <v>23.73</v>
      </c>
      <c r="G178">
        <v>23.956</v>
      </c>
      <c r="H178">
        <v>3.27</v>
      </c>
      <c r="I178">
        <v>2.84</v>
      </c>
      <c r="J178">
        <v>3.2706</v>
      </c>
      <c r="K178">
        <v>2.8092999999999999</v>
      </c>
    </row>
    <row r="179" spans="1:11" x14ac:dyDescent="0.35">
      <c r="A179" t="s">
        <v>34</v>
      </c>
      <c r="B179">
        <v>2</v>
      </c>
      <c r="C179" t="s">
        <v>20</v>
      </c>
      <c r="D179">
        <v>15</v>
      </c>
      <c r="E179">
        <v>1</v>
      </c>
      <c r="F179">
        <v>19.151</v>
      </c>
      <c r="G179">
        <v>19.1523</v>
      </c>
      <c r="H179">
        <v>71.16</v>
      </c>
      <c r="I179">
        <v>71.62</v>
      </c>
      <c r="J179">
        <v>71.157399999999996</v>
      </c>
      <c r="K179">
        <v>71.095200000000006</v>
      </c>
    </row>
    <row r="180" spans="1:11" x14ac:dyDescent="0.35">
      <c r="A180" t="s">
        <v>34</v>
      </c>
      <c r="B180">
        <v>2</v>
      </c>
      <c r="C180" t="s">
        <v>25</v>
      </c>
      <c r="D180">
        <v>9</v>
      </c>
      <c r="E180">
        <v>1</v>
      </c>
      <c r="F180">
        <v>33.973999999999997</v>
      </c>
      <c r="G180">
        <v>32.89</v>
      </c>
      <c r="H180">
        <v>0</v>
      </c>
      <c r="I180">
        <v>0.01</v>
      </c>
      <c r="J180">
        <v>3.3E-3</v>
      </c>
      <c r="K180">
        <v>6.8999999999999999E-3</v>
      </c>
    </row>
    <row r="181" spans="1:11" x14ac:dyDescent="0.35">
      <c r="A181" t="s">
        <v>34</v>
      </c>
      <c r="B181">
        <v>2</v>
      </c>
      <c r="C181" t="s">
        <v>15</v>
      </c>
      <c r="D181">
        <v>11</v>
      </c>
      <c r="E181">
        <v>10</v>
      </c>
      <c r="F181">
        <v>24.518999999999998</v>
      </c>
      <c r="G181">
        <v>24.411999999999999</v>
      </c>
      <c r="H181">
        <v>19.239999999999998</v>
      </c>
      <c r="I181">
        <v>20.81</v>
      </c>
      <c r="J181">
        <v>19.237300000000001</v>
      </c>
      <c r="K181">
        <v>20.672799999999999</v>
      </c>
    </row>
    <row r="182" spans="1:11" x14ac:dyDescent="0.35">
      <c r="A182" t="s">
        <v>34</v>
      </c>
      <c r="B182">
        <v>2</v>
      </c>
      <c r="C182" t="s">
        <v>25</v>
      </c>
      <c r="D182">
        <v>9</v>
      </c>
      <c r="E182">
        <v>1</v>
      </c>
      <c r="F182">
        <v>32.948999999999998</v>
      </c>
      <c r="G182">
        <v>32.89</v>
      </c>
      <c r="H182">
        <v>0.01</v>
      </c>
      <c r="I182">
        <v>0.01</v>
      </c>
      <c r="J182">
        <v>6.6E-3</v>
      </c>
      <c r="K182">
        <v>6.8999999999999999E-3</v>
      </c>
    </row>
    <row r="183" spans="1:11" x14ac:dyDescent="0.35">
      <c r="A183" t="s">
        <v>34</v>
      </c>
      <c r="B183">
        <v>2</v>
      </c>
      <c r="C183" t="s">
        <v>21</v>
      </c>
      <c r="D183">
        <v>14</v>
      </c>
      <c r="E183">
        <v>1</v>
      </c>
      <c r="F183">
        <v>24.044</v>
      </c>
      <c r="G183">
        <v>23.956</v>
      </c>
      <c r="H183">
        <v>2.65</v>
      </c>
      <c r="I183">
        <v>2.84</v>
      </c>
      <c r="J183">
        <v>2.6478999999999999</v>
      </c>
      <c r="K183">
        <v>2.8092999999999999</v>
      </c>
    </row>
    <row r="184" spans="1:11" x14ac:dyDescent="0.35">
      <c r="A184" t="s">
        <v>34</v>
      </c>
      <c r="B184">
        <v>2</v>
      </c>
      <c r="C184" t="s">
        <v>25</v>
      </c>
      <c r="D184">
        <v>9</v>
      </c>
      <c r="E184">
        <v>1</v>
      </c>
      <c r="F184">
        <v>33.182000000000002</v>
      </c>
      <c r="G184">
        <v>32.89</v>
      </c>
      <c r="H184">
        <v>0.01</v>
      </c>
      <c r="I184">
        <v>0.01</v>
      </c>
      <c r="J184">
        <v>5.7000000000000002E-3</v>
      </c>
      <c r="K184">
        <v>6.8999999999999999E-3</v>
      </c>
    </row>
    <row r="185" spans="1:11" x14ac:dyDescent="0.35">
      <c r="A185" t="s">
        <v>34</v>
      </c>
      <c r="B185">
        <v>2</v>
      </c>
      <c r="C185" t="s">
        <v>24</v>
      </c>
      <c r="D185">
        <v>8</v>
      </c>
      <c r="E185">
        <v>1</v>
      </c>
      <c r="F185">
        <v>32.805</v>
      </c>
      <c r="G185">
        <v>32.598500000000001</v>
      </c>
      <c r="H185">
        <v>0.01</v>
      </c>
      <c r="I185">
        <v>0.01</v>
      </c>
      <c r="J185">
        <v>7.3000000000000001E-3</v>
      </c>
      <c r="K185">
        <v>8.3999999999999995E-3</v>
      </c>
    </row>
    <row r="186" spans="1:11" x14ac:dyDescent="0.35">
      <c r="A186" t="s">
        <v>34</v>
      </c>
      <c r="B186">
        <v>2</v>
      </c>
      <c r="C186" t="s">
        <v>24</v>
      </c>
      <c r="D186">
        <v>8</v>
      </c>
      <c r="E186">
        <v>1</v>
      </c>
      <c r="F186">
        <v>32.392000000000003</v>
      </c>
      <c r="G186">
        <v>32.598500000000001</v>
      </c>
      <c r="H186">
        <v>0.01</v>
      </c>
      <c r="I186">
        <v>0.01</v>
      </c>
      <c r="J186">
        <v>9.5999999999999992E-3</v>
      </c>
      <c r="K186">
        <v>8.3999999999999995E-3</v>
      </c>
    </row>
    <row r="187" spans="1:11" x14ac:dyDescent="0.35">
      <c r="A187" t="s">
        <v>34</v>
      </c>
      <c r="B187">
        <v>2</v>
      </c>
      <c r="C187" t="s">
        <v>25</v>
      </c>
      <c r="D187">
        <v>9</v>
      </c>
      <c r="E187">
        <v>1</v>
      </c>
      <c r="F187">
        <v>32.734000000000002</v>
      </c>
      <c r="G187">
        <v>32.89</v>
      </c>
      <c r="H187">
        <v>0.01</v>
      </c>
      <c r="I187">
        <v>0.01</v>
      </c>
      <c r="J187">
        <v>7.7000000000000002E-3</v>
      </c>
      <c r="K187">
        <v>6.8999999999999999E-3</v>
      </c>
    </row>
    <row r="188" spans="1:11" x14ac:dyDescent="0.35">
      <c r="A188" t="s">
        <v>34</v>
      </c>
      <c r="B188">
        <v>2</v>
      </c>
      <c r="C188" t="s">
        <v>15</v>
      </c>
      <c r="D188">
        <v>11</v>
      </c>
      <c r="E188">
        <v>10</v>
      </c>
      <c r="F188">
        <v>24.623000000000001</v>
      </c>
      <c r="G188">
        <v>24.411999999999999</v>
      </c>
      <c r="H188">
        <v>17.93</v>
      </c>
      <c r="I188">
        <v>20.81</v>
      </c>
      <c r="J188">
        <v>17.9376</v>
      </c>
      <c r="K188">
        <v>20.672799999999999</v>
      </c>
    </row>
    <row r="189" spans="1:11" x14ac:dyDescent="0.35">
      <c r="A189" t="s">
        <v>34</v>
      </c>
      <c r="B189">
        <v>2</v>
      </c>
      <c r="C189" t="s">
        <v>25</v>
      </c>
      <c r="D189">
        <v>9</v>
      </c>
      <c r="E189">
        <v>1</v>
      </c>
      <c r="F189">
        <v>32.628</v>
      </c>
      <c r="G189">
        <v>32.89</v>
      </c>
      <c r="H189">
        <v>0.01</v>
      </c>
      <c r="I189">
        <v>0.01</v>
      </c>
      <c r="J189">
        <v>8.2000000000000007E-3</v>
      </c>
      <c r="K189">
        <v>6.8999999999999999E-3</v>
      </c>
    </row>
    <row r="190" spans="1:11" x14ac:dyDescent="0.35">
      <c r="A190" t="s">
        <v>34</v>
      </c>
      <c r="B190">
        <v>2</v>
      </c>
      <c r="C190" t="s">
        <v>21</v>
      </c>
      <c r="D190">
        <v>14</v>
      </c>
      <c r="E190">
        <v>1</v>
      </c>
      <c r="F190">
        <v>24.12</v>
      </c>
      <c r="G190">
        <v>23.956</v>
      </c>
      <c r="H190">
        <v>2.52</v>
      </c>
      <c r="I190">
        <v>2.84</v>
      </c>
      <c r="J190">
        <v>2.5158999999999998</v>
      </c>
      <c r="K190">
        <v>2.8092999999999999</v>
      </c>
    </row>
    <row r="191" spans="1:11" x14ac:dyDescent="0.35">
      <c r="A191" t="s">
        <v>34</v>
      </c>
      <c r="B191">
        <v>2</v>
      </c>
      <c r="C191" t="s">
        <v>25</v>
      </c>
      <c r="D191">
        <v>9</v>
      </c>
      <c r="E191">
        <v>1</v>
      </c>
      <c r="F191">
        <v>32.628999999999998</v>
      </c>
      <c r="G191">
        <v>32.89</v>
      </c>
      <c r="H191">
        <v>0.01</v>
      </c>
      <c r="I191">
        <v>0.01</v>
      </c>
      <c r="J191">
        <v>8.2000000000000007E-3</v>
      </c>
      <c r="K191">
        <v>6.8999999999999999E-3</v>
      </c>
    </row>
    <row r="192" spans="1:11" x14ac:dyDescent="0.35">
      <c r="A192" t="s">
        <v>34</v>
      </c>
      <c r="B192">
        <v>2</v>
      </c>
      <c r="C192" t="s">
        <v>25</v>
      </c>
      <c r="D192">
        <v>9</v>
      </c>
      <c r="E192">
        <v>1</v>
      </c>
      <c r="F192">
        <v>33.091999999999999</v>
      </c>
      <c r="G192">
        <v>32.89</v>
      </c>
      <c r="H192">
        <v>0.01</v>
      </c>
      <c r="I192">
        <v>0.01</v>
      </c>
      <c r="J192">
        <v>6.0000000000000001E-3</v>
      </c>
      <c r="K192">
        <v>6.8999999999999999E-3</v>
      </c>
    </row>
    <row r="193" spans="1:11" x14ac:dyDescent="0.35">
      <c r="A193" t="s">
        <v>33</v>
      </c>
      <c r="B193">
        <v>3</v>
      </c>
      <c r="C193" t="s">
        <v>0</v>
      </c>
      <c r="D193">
        <v>10</v>
      </c>
      <c r="E193">
        <v>10</v>
      </c>
      <c r="F193">
        <v>21.597000000000001</v>
      </c>
      <c r="G193">
        <v>21.4742</v>
      </c>
      <c r="H193">
        <v>78.92</v>
      </c>
      <c r="I193">
        <v>86.11</v>
      </c>
      <c r="J193">
        <v>78.924400000000006</v>
      </c>
      <c r="K193">
        <v>85.823300000000003</v>
      </c>
    </row>
    <row r="194" spans="1:11" x14ac:dyDescent="0.35">
      <c r="A194" t="s">
        <v>33</v>
      </c>
      <c r="B194">
        <v>3</v>
      </c>
      <c r="C194" t="s">
        <v>15</v>
      </c>
      <c r="D194">
        <v>11</v>
      </c>
      <c r="E194">
        <v>10</v>
      </c>
      <c r="F194">
        <v>23.806999999999999</v>
      </c>
      <c r="G194">
        <v>23.720199999999998</v>
      </c>
      <c r="H194">
        <v>17.46</v>
      </c>
      <c r="I194">
        <v>18.579999999999998</v>
      </c>
      <c r="J194">
        <v>17.4679</v>
      </c>
      <c r="K194">
        <v>18.533899999999999</v>
      </c>
    </row>
    <row r="195" spans="1:11" x14ac:dyDescent="0.35">
      <c r="A195" t="s">
        <v>33</v>
      </c>
      <c r="B195">
        <v>3</v>
      </c>
      <c r="C195" t="s">
        <v>22</v>
      </c>
      <c r="D195">
        <v>13</v>
      </c>
      <c r="E195">
        <v>1</v>
      </c>
      <c r="F195">
        <v>28.363</v>
      </c>
      <c r="G195">
        <v>28.2361</v>
      </c>
      <c r="H195">
        <v>0.08</v>
      </c>
      <c r="I195">
        <v>0.09</v>
      </c>
      <c r="J195">
        <v>7.8E-2</v>
      </c>
      <c r="K195">
        <v>8.5000000000000006E-2</v>
      </c>
    </row>
    <row r="196" spans="1:11" x14ac:dyDescent="0.35">
      <c r="A196" t="s">
        <v>33</v>
      </c>
      <c r="B196">
        <v>3</v>
      </c>
      <c r="C196" t="s">
        <v>21</v>
      </c>
      <c r="D196">
        <v>14</v>
      </c>
      <c r="E196">
        <v>1</v>
      </c>
      <c r="F196">
        <v>23.280999999999999</v>
      </c>
      <c r="G196">
        <v>23.287400000000002</v>
      </c>
      <c r="H196">
        <v>2.5</v>
      </c>
      <c r="I196">
        <v>2.4900000000000002</v>
      </c>
      <c r="J196">
        <v>2.5011000000000001</v>
      </c>
      <c r="K196">
        <v>2.4902000000000002</v>
      </c>
    </row>
    <row r="197" spans="1:11" x14ac:dyDescent="0.35">
      <c r="A197" t="s">
        <v>33</v>
      </c>
      <c r="B197">
        <v>3</v>
      </c>
      <c r="C197" t="s">
        <v>32</v>
      </c>
      <c r="D197">
        <v>1</v>
      </c>
      <c r="E197">
        <v>1</v>
      </c>
      <c r="F197">
        <v>13.523</v>
      </c>
      <c r="G197">
        <v>13.5275</v>
      </c>
      <c r="H197">
        <v>1949.85</v>
      </c>
      <c r="I197">
        <v>1944.34</v>
      </c>
      <c r="J197">
        <v>1950.1813999999999</v>
      </c>
      <c r="K197">
        <v>1944.2019</v>
      </c>
    </row>
    <row r="198" spans="1:11" x14ac:dyDescent="0.35">
      <c r="A198" t="s">
        <v>33</v>
      </c>
      <c r="B198">
        <v>3</v>
      </c>
      <c r="C198" t="s">
        <v>32</v>
      </c>
      <c r="D198">
        <v>1</v>
      </c>
      <c r="E198">
        <v>1</v>
      </c>
      <c r="F198">
        <v>13.532</v>
      </c>
      <c r="G198">
        <v>13.5275</v>
      </c>
      <c r="H198">
        <v>1938.82</v>
      </c>
      <c r="I198">
        <v>1944.34</v>
      </c>
      <c r="J198">
        <v>1938.2407000000001</v>
      </c>
      <c r="K198">
        <v>1944.2019</v>
      </c>
    </row>
    <row r="199" spans="1:11" x14ac:dyDescent="0.35">
      <c r="A199" t="s">
        <v>33</v>
      </c>
      <c r="B199">
        <v>3</v>
      </c>
      <c r="C199" t="s">
        <v>19</v>
      </c>
      <c r="D199">
        <v>16</v>
      </c>
      <c r="E199">
        <v>10</v>
      </c>
      <c r="F199">
        <v>27.091999999999999</v>
      </c>
      <c r="G199">
        <v>27.20975</v>
      </c>
      <c r="H199">
        <v>1.86</v>
      </c>
      <c r="I199">
        <v>1.72</v>
      </c>
      <c r="J199">
        <v>1.8564000000000001</v>
      </c>
      <c r="K199">
        <v>1.7131000000000001</v>
      </c>
    </row>
    <row r="200" spans="1:11" x14ac:dyDescent="0.35">
      <c r="A200" t="s">
        <v>33</v>
      </c>
      <c r="B200">
        <v>3</v>
      </c>
      <c r="C200" t="s">
        <v>0</v>
      </c>
      <c r="D200">
        <v>10</v>
      </c>
      <c r="E200">
        <v>10</v>
      </c>
      <c r="F200">
        <v>21.466000000000001</v>
      </c>
      <c r="G200">
        <v>21.4742</v>
      </c>
      <c r="H200">
        <v>86.3</v>
      </c>
      <c r="I200">
        <v>86.11</v>
      </c>
      <c r="J200">
        <v>86.304900000000004</v>
      </c>
      <c r="K200">
        <v>85.823300000000003</v>
      </c>
    </row>
    <row r="201" spans="1:11" x14ac:dyDescent="0.35">
      <c r="A201" t="s">
        <v>33</v>
      </c>
      <c r="B201">
        <v>3</v>
      </c>
      <c r="C201" t="s">
        <v>15</v>
      </c>
      <c r="D201">
        <v>11</v>
      </c>
      <c r="E201">
        <v>10</v>
      </c>
      <c r="F201">
        <v>23.658999999999999</v>
      </c>
      <c r="G201">
        <v>23.720199999999998</v>
      </c>
      <c r="H201">
        <v>19.329999999999998</v>
      </c>
      <c r="I201">
        <v>18.579999999999998</v>
      </c>
      <c r="J201">
        <v>19.324300000000001</v>
      </c>
      <c r="K201">
        <v>18.533899999999999</v>
      </c>
    </row>
    <row r="202" spans="1:11" x14ac:dyDescent="0.35">
      <c r="A202" t="s">
        <v>33</v>
      </c>
      <c r="B202">
        <v>3</v>
      </c>
      <c r="C202" t="s">
        <v>22</v>
      </c>
      <c r="D202">
        <v>13</v>
      </c>
      <c r="E202">
        <v>1</v>
      </c>
      <c r="F202">
        <v>28.332000000000001</v>
      </c>
      <c r="G202">
        <v>28.2361</v>
      </c>
      <c r="H202">
        <v>0.08</v>
      </c>
      <c r="I202">
        <v>0.09</v>
      </c>
      <c r="J202">
        <v>7.9600000000000004E-2</v>
      </c>
      <c r="K202">
        <v>8.5000000000000006E-2</v>
      </c>
    </row>
    <row r="203" spans="1:11" x14ac:dyDescent="0.35">
      <c r="A203" t="s">
        <v>33</v>
      </c>
      <c r="B203">
        <v>3</v>
      </c>
      <c r="C203" t="s">
        <v>21</v>
      </c>
      <c r="D203">
        <v>14</v>
      </c>
      <c r="E203">
        <v>1</v>
      </c>
      <c r="F203">
        <v>23.324999999999999</v>
      </c>
      <c r="G203">
        <v>23.287400000000002</v>
      </c>
      <c r="H203">
        <v>2.4300000000000002</v>
      </c>
      <c r="I203">
        <v>2.4900000000000002</v>
      </c>
      <c r="J203">
        <v>2.4270999999999998</v>
      </c>
      <c r="K203">
        <v>2.4902000000000002</v>
      </c>
    </row>
    <row r="204" spans="1:11" x14ac:dyDescent="0.35">
      <c r="A204" t="s">
        <v>33</v>
      </c>
      <c r="B204">
        <v>3</v>
      </c>
      <c r="C204" t="s">
        <v>19</v>
      </c>
      <c r="D204">
        <v>16</v>
      </c>
      <c r="E204">
        <v>10</v>
      </c>
      <c r="F204">
        <v>27.372</v>
      </c>
      <c r="G204">
        <v>27.20975</v>
      </c>
      <c r="H204">
        <v>1.53</v>
      </c>
      <c r="I204">
        <v>1.72</v>
      </c>
      <c r="J204">
        <v>1.5335000000000001</v>
      </c>
      <c r="K204">
        <v>1.7131000000000001</v>
      </c>
    </row>
    <row r="205" spans="1:11" x14ac:dyDescent="0.35">
      <c r="A205" t="s">
        <v>33</v>
      </c>
      <c r="B205">
        <v>3</v>
      </c>
      <c r="C205" t="s">
        <v>0</v>
      </c>
      <c r="D205">
        <v>10</v>
      </c>
      <c r="E205">
        <v>10</v>
      </c>
      <c r="F205">
        <v>21.515000000000001</v>
      </c>
      <c r="G205">
        <v>21.4742</v>
      </c>
      <c r="H205">
        <v>83.47</v>
      </c>
      <c r="I205">
        <v>86.11</v>
      </c>
      <c r="J205">
        <v>83.466700000000003</v>
      </c>
      <c r="K205">
        <v>85.823300000000003</v>
      </c>
    </row>
    <row r="206" spans="1:11" x14ac:dyDescent="0.35">
      <c r="A206" t="s">
        <v>33</v>
      </c>
      <c r="B206">
        <v>3</v>
      </c>
      <c r="C206" t="s">
        <v>15</v>
      </c>
      <c r="D206">
        <v>11</v>
      </c>
      <c r="E206">
        <v>10</v>
      </c>
      <c r="F206">
        <v>23.757999999999999</v>
      </c>
      <c r="G206">
        <v>23.720199999999998</v>
      </c>
      <c r="H206">
        <v>18.059999999999999</v>
      </c>
      <c r="I206">
        <v>18.579999999999998</v>
      </c>
      <c r="J206">
        <v>18.061900000000001</v>
      </c>
      <c r="K206">
        <v>18.533899999999999</v>
      </c>
    </row>
    <row r="207" spans="1:11" x14ac:dyDescent="0.35">
      <c r="A207" t="s">
        <v>33</v>
      </c>
      <c r="B207">
        <v>3</v>
      </c>
      <c r="C207" t="s">
        <v>22</v>
      </c>
      <c r="D207">
        <v>13</v>
      </c>
      <c r="E207">
        <v>1</v>
      </c>
      <c r="F207">
        <v>28.408999999999999</v>
      </c>
      <c r="G207">
        <v>28.2361</v>
      </c>
      <c r="H207">
        <v>0.08</v>
      </c>
      <c r="I207">
        <v>0.09</v>
      </c>
      <c r="J207">
        <v>7.5600000000000001E-2</v>
      </c>
      <c r="K207">
        <v>8.5000000000000006E-2</v>
      </c>
    </row>
    <row r="208" spans="1:11" x14ac:dyDescent="0.35">
      <c r="A208" t="s">
        <v>33</v>
      </c>
      <c r="B208">
        <v>3</v>
      </c>
      <c r="C208" t="s">
        <v>21</v>
      </c>
      <c r="D208">
        <v>14</v>
      </c>
      <c r="E208">
        <v>1</v>
      </c>
      <c r="F208">
        <v>23.219000000000001</v>
      </c>
      <c r="G208">
        <v>23.287400000000002</v>
      </c>
      <c r="H208">
        <v>2.61</v>
      </c>
      <c r="I208">
        <v>2.4900000000000002</v>
      </c>
      <c r="J208">
        <v>2.6092</v>
      </c>
      <c r="K208">
        <v>2.4902000000000002</v>
      </c>
    </row>
    <row r="209" spans="1:11" x14ac:dyDescent="0.35">
      <c r="A209" t="s">
        <v>33</v>
      </c>
      <c r="B209">
        <v>3</v>
      </c>
      <c r="C209" t="s">
        <v>31</v>
      </c>
      <c r="D209">
        <v>2</v>
      </c>
      <c r="E209">
        <v>1</v>
      </c>
      <c r="F209">
        <v>15.869</v>
      </c>
      <c r="G209">
        <v>15.84</v>
      </c>
      <c r="H209">
        <v>393.25</v>
      </c>
      <c r="I209">
        <v>401.28</v>
      </c>
      <c r="J209">
        <v>393.36799999999999</v>
      </c>
      <c r="K209">
        <v>401.23020000000002</v>
      </c>
    </row>
    <row r="210" spans="1:11" x14ac:dyDescent="0.35">
      <c r="A210" t="s">
        <v>33</v>
      </c>
      <c r="B210">
        <v>3</v>
      </c>
      <c r="C210" t="s">
        <v>31</v>
      </c>
      <c r="D210">
        <v>2</v>
      </c>
      <c r="E210">
        <v>1</v>
      </c>
      <c r="F210">
        <v>15.811</v>
      </c>
      <c r="G210">
        <v>15.84</v>
      </c>
      <c r="H210">
        <v>409.31</v>
      </c>
      <c r="I210">
        <v>401.28</v>
      </c>
      <c r="J210">
        <v>409.24959999999999</v>
      </c>
      <c r="K210">
        <v>401.23020000000002</v>
      </c>
    </row>
    <row r="211" spans="1:11" x14ac:dyDescent="0.35">
      <c r="A211" t="s">
        <v>33</v>
      </c>
      <c r="B211">
        <v>3</v>
      </c>
      <c r="C211" t="s">
        <v>19</v>
      </c>
      <c r="D211">
        <v>16</v>
      </c>
      <c r="E211">
        <v>10</v>
      </c>
      <c r="F211">
        <v>26.904</v>
      </c>
      <c r="G211">
        <v>27.20975</v>
      </c>
      <c r="H211">
        <v>2.11</v>
      </c>
      <c r="I211">
        <v>1.72</v>
      </c>
      <c r="J211">
        <v>2.1105</v>
      </c>
      <c r="K211">
        <v>1.7131000000000001</v>
      </c>
    </row>
    <row r="212" spans="1:11" x14ac:dyDescent="0.35">
      <c r="A212" t="s">
        <v>33</v>
      </c>
      <c r="B212">
        <v>3</v>
      </c>
      <c r="C212" t="s">
        <v>0</v>
      </c>
      <c r="D212">
        <v>10</v>
      </c>
      <c r="E212">
        <v>10</v>
      </c>
      <c r="F212">
        <v>21.207999999999998</v>
      </c>
      <c r="G212">
        <v>21.4742</v>
      </c>
      <c r="H212">
        <v>102.91</v>
      </c>
      <c r="I212">
        <v>86.11</v>
      </c>
      <c r="J212">
        <v>102.9195</v>
      </c>
      <c r="K212">
        <v>85.823300000000003</v>
      </c>
    </row>
    <row r="213" spans="1:11" x14ac:dyDescent="0.35">
      <c r="A213" t="s">
        <v>33</v>
      </c>
      <c r="B213">
        <v>3</v>
      </c>
      <c r="C213" t="s">
        <v>15</v>
      </c>
      <c r="D213">
        <v>11</v>
      </c>
      <c r="E213">
        <v>10</v>
      </c>
      <c r="F213">
        <v>23.535</v>
      </c>
      <c r="G213">
        <v>23.720199999999998</v>
      </c>
      <c r="H213">
        <v>21.03</v>
      </c>
      <c r="I213">
        <v>18.579999999999998</v>
      </c>
      <c r="J213">
        <v>21.0307</v>
      </c>
      <c r="K213">
        <v>18.533899999999999</v>
      </c>
    </row>
    <row r="214" spans="1:11" x14ac:dyDescent="0.35">
      <c r="A214" t="s">
        <v>33</v>
      </c>
      <c r="B214">
        <v>3</v>
      </c>
      <c r="C214" t="s">
        <v>22</v>
      </c>
      <c r="D214">
        <v>13</v>
      </c>
      <c r="E214">
        <v>1</v>
      </c>
      <c r="F214">
        <v>28.315000000000001</v>
      </c>
      <c r="G214">
        <v>28.2361</v>
      </c>
      <c r="H214">
        <v>0.08</v>
      </c>
      <c r="I214">
        <v>0.09</v>
      </c>
      <c r="J214">
        <v>8.0600000000000005E-2</v>
      </c>
      <c r="K214">
        <v>8.5000000000000006E-2</v>
      </c>
    </row>
    <row r="215" spans="1:11" x14ac:dyDescent="0.35">
      <c r="A215" t="s">
        <v>33</v>
      </c>
      <c r="B215">
        <v>3</v>
      </c>
      <c r="C215" t="s">
        <v>21</v>
      </c>
      <c r="D215">
        <v>14</v>
      </c>
      <c r="E215">
        <v>1</v>
      </c>
      <c r="F215">
        <v>23.265999999999998</v>
      </c>
      <c r="G215">
        <v>23.287400000000002</v>
      </c>
      <c r="H215">
        <v>2.5299999999999998</v>
      </c>
      <c r="I215">
        <v>2.4900000000000002</v>
      </c>
      <c r="J215">
        <v>2.5268000000000002</v>
      </c>
      <c r="K215">
        <v>2.4902000000000002</v>
      </c>
    </row>
    <row r="216" spans="1:11" x14ac:dyDescent="0.35">
      <c r="A216" t="s">
        <v>33</v>
      </c>
      <c r="B216">
        <v>3</v>
      </c>
      <c r="C216" t="s">
        <v>19</v>
      </c>
      <c r="D216">
        <v>16</v>
      </c>
      <c r="E216">
        <v>10</v>
      </c>
      <c r="F216">
        <v>27.248999999999999</v>
      </c>
      <c r="G216">
        <v>27.20975</v>
      </c>
      <c r="H216">
        <v>1.67</v>
      </c>
      <c r="I216">
        <v>1.72</v>
      </c>
      <c r="J216">
        <v>1.6677999999999999</v>
      </c>
      <c r="K216">
        <v>1.7131000000000001</v>
      </c>
    </row>
    <row r="217" spans="1:11" x14ac:dyDescent="0.35">
      <c r="A217" t="s">
        <v>33</v>
      </c>
      <c r="B217">
        <v>3</v>
      </c>
      <c r="C217" t="s">
        <v>0</v>
      </c>
      <c r="D217">
        <v>10</v>
      </c>
      <c r="E217">
        <v>10</v>
      </c>
      <c r="F217">
        <v>21.643999999999998</v>
      </c>
      <c r="G217">
        <v>21.4742</v>
      </c>
      <c r="H217">
        <v>76.41</v>
      </c>
      <c r="I217">
        <v>86.11</v>
      </c>
      <c r="J217">
        <v>76.433199999999999</v>
      </c>
      <c r="K217">
        <v>85.823300000000003</v>
      </c>
    </row>
    <row r="218" spans="1:11" x14ac:dyDescent="0.35">
      <c r="A218" t="s">
        <v>33</v>
      </c>
      <c r="B218">
        <v>3</v>
      </c>
      <c r="C218" t="s">
        <v>18</v>
      </c>
      <c r="D218">
        <v>12</v>
      </c>
      <c r="E218">
        <v>10</v>
      </c>
      <c r="F218">
        <v>25.44</v>
      </c>
      <c r="G218">
        <v>25.391100000000002</v>
      </c>
      <c r="H218">
        <v>5.73</v>
      </c>
      <c r="I218">
        <v>5.94</v>
      </c>
      <c r="J218">
        <v>5.7316000000000003</v>
      </c>
      <c r="K218">
        <v>5.9260999999999999</v>
      </c>
    </row>
    <row r="219" spans="1:11" x14ac:dyDescent="0.35">
      <c r="A219" t="s">
        <v>33</v>
      </c>
      <c r="B219">
        <v>3</v>
      </c>
      <c r="C219" t="s">
        <v>22</v>
      </c>
      <c r="D219">
        <v>13</v>
      </c>
      <c r="E219">
        <v>1</v>
      </c>
      <c r="F219">
        <v>28.167999999999999</v>
      </c>
      <c r="G219">
        <v>28.2361</v>
      </c>
      <c r="H219">
        <v>0.09</v>
      </c>
      <c r="I219">
        <v>0.09</v>
      </c>
      <c r="J219">
        <v>8.9099999999999999E-2</v>
      </c>
      <c r="K219">
        <v>8.5000000000000006E-2</v>
      </c>
    </row>
    <row r="220" spans="1:11" x14ac:dyDescent="0.35">
      <c r="A220" t="s">
        <v>33</v>
      </c>
      <c r="B220">
        <v>3</v>
      </c>
      <c r="C220" t="s">
        <v>20</v>
      </c>
      <c r="D220">
        <v>15</v>
      </c>
      <c r="E220">
        <v>1</v>
      </c>
      <c r="F220">
        <v>18.402000000000001</v>
      </c>
      <c r="G220">
        <v>18.4955</v>
      </c>
      <c r="H220">
        <v>69.819999999999993</v>
      </c>
      <c r="I220">
        <v>65.56</v>
      </c>
      <c r="J220">
        <v>69.839699999999993</v>
      </c>
      <c r="K220">
        <v>65.522800000000004</v>
      </c>
    </row>
    <row r="221" spans="1:11" x14ac:dyDescent="0.35">
      <c r="A221" t="s">
        <v>33</v>
      </c>
      <c r="B221">
        <v>3</v>
      </c>
      <c r="C221" t="s">
        <v>30</v>
      </c>
      <c r="D221">
        <v>3</v>
      </c>
      <c r="E221">
        <v>1</v>
      </c>
      <c r="F221">
        <v>18.213000000000001</v>
      </c>
      <c r="G221">
        <v>18.18</v>
      </c>
      <c r="H221">
        <v>79.44</v>
      </c>
      <c r="I221">
        <v>81.28</v>
      </c>
      <c r="J221">
        <v>79.453999999999994</v>
      </c>
      <c r="K221">
        <v>81.263599999999997</v>
      </c>
    </row>
    <row r="222" spans="1:11" x14ac:dyDescent="0.35">
      <c r="A222" t="s">
        <v>33</v>
      </c>
      <c r="B222">
        <v>3</v>
      </c>
      <c r="C222" t="s">
        <v>30</v>
      </c>
      <c r="D222">
        <v>3</v>
      </c>
      <c r="E222">
        <v>1</v>
      </c>
      <c r="F222">
        <v>18.146999999999998</v>
      </c>
      <c r="G222">
        <v>18.18</v>
      </c>
      <c r="H222">
        <v>83.12</v>
      </c>
      <c r="I222">
        <v>81.28</v>
      </c>
      <c r="J222">
        <v>83.1143</v>
      </c>
      <c r="K222">
        <v>81.263599999999997</v>
      </c>
    </row>
    <row r="223" spans="1:11" x14ac:dyDescent="0.35">
      <c r="A223" t="s">
        <v>33</v>
      </c>
      <c r="B223">
        <v>3</v>
      </c>
      <c r="C223" t="s">
        <v>0</v>
      </c>
      <c r="D223">
        <v>10</v>
      </c>
      <c r="E223">
        <v>10</v>
      </c>
      <c r="F223">
        <v>21.388000000000002</v>
      </c>
      <c r="G223">
        <v>21.4742</v>
      </c>
      <c r="H223">
        <v>91</v>
      </c>
      <c r="I223">
        <v>86.11</v>
      </c>
      <c r="J223">
        <v>91.023099999999999</v>
      </c>
      <c r="K223">
        <v>85.823300000000003</v>
      </c>
    </row>
    <row r="224" spans="1:11" x14ac:dyDescent="0.35">
      <c r="A224" t="s">
        <v>33</v>
      </c>
      <c r="B224">
        <v>3</v>
      </c>
      <c r="C224" t="s">
        <v>18</v>
      </c>
      <c r="D224">
        <v>12</v>
      </c>
      <c r="E224">
        <v>10</v>
      </c>
      <c r="F224">
        <v>25.33</v>
      </c>
      <c r="G224">
        <v>25.391100000000002</v>
      </c>
      <c r="H224">
        <v>6.18</v>
      </c>
      <c r="I224">
        <v>5.94</v>
      </c>
      <c r="J224">
        <v>6.1783999999999999</v>
      </c>
      <c r="K224">
        <v>5.9260999999999999</v>
      </c>
    </row>
    <row r="225" spans="1:11" x14ac:dyDescent="0.35">
      <c r="A225" t="s">
        <v>33</v>
      </c>
      <c r="B225">
        <v>3</v>
      </c>
      <c r="C225" t="s">
        <v>22</v>
      </c>
      <c r="D225">
        <v>13</v>
      </c>
      <c r="E225">
        <v>1</v>
      </c>
      <c r="F225">
        <v>28.073</v>
      </c>
      <c r="G225">
        <v>28.2361</v>
      </c>
      <c r="H225">
        <v>0.1</v>
      </c>
      <c r="I225">
        <v>0.09</v>
      </c>
      <c r="J225">
        <v>9.5000000000000001E-2</v>
      </c>
      <c r="K225">
        <v>8.5000000000000006E-2</v>
      </c>
    </row>
    <row r="226" spans="1:11" x14ac:dyDescent="0.35">
      <c r="A226" t="s">
        <v>33</v>
      </c>
      <c r="B226">
        <v>3</v>
      </c>
      <c r="C226" t="s">
        <v>20</v>
      </c>
      <c r="D226">
        <v>15</v>
      </c>
      <c r="E226">
        <v>1</v>
      </c>
      <c r="F226">
        <v>18.512</v>
      </c>
      <c r="G226">
        <v>18.4955</v>
      </c>
      <c r="H226">
        <v>64.77</v>
      </c>
      <c r="I226">
        <v>65.56</v>
      </c>
      <c r="J226">
        <v>64.789100000000005</v>
      </c>
      <c r="K226">
        <v>65.522800000000004</v>
      </c>
    </row>
    <row r="227" spans="1:11" x14ac:dyDescent="0.35">
      <c r="A227" t="s">
        <v>33</v>
      </c>
      <c r="B227">
        <v>3</v>
      </c>
      <c r="C227" t="s">
        <v>0</v>
      </c>
      <c r="D227">
        <v>10</v>
      </c>
      <c r="E227">
        <v>10</v>
      </c>
      <c r="F227">
        <v>21.573</v>
      </c>
      <c r="G227">
        <v>21.4742</v>
      </c>
      <c r="H227">
        <v>80.25</v>
      </c>
      <c r="I227">
        <v>86.11</v>
      </c>
      <c r="J227">
        <v>80.227599999999995</v>
      </c>
      <c r="K227">
        <v>85.823300000000003</v>
      </c>
    </row>
    <row r="228" spans="1:11" x14ac:dyDescent="0.35">
      <c r="A228" t="s">
        <v>33</v>
      </c>
      <c r="B228">
        <v>3</v>
      </c>
      <c r="C228" t="s">
        <v>18</v>
      </c>
      <c r="D228">
        <v>12</v>
      </c>
      <c r="E228">
        <v>10</v>
      </c>
      <c r="F228">
        <v>25.440999999999999</v>
      </c>
      <c r="G228">
        <v>25.391100000000002</v>
      </c>
      <c r="H228">
        <v>5.73</v>
      </c>
      <c r="I228">
        <v>5.94</v>
      </c>
      <c r="J228">
        <v>5.7276999999999996</v>
      </c>
      <c r="K228">
        <v>5.9260999999999999</v>
      </c>
    </row>
    <row r="229" spans="1:11" x14ac:dyDescent="0.35">
      <c r="A229" t="s">
        <v>33</v>
      </c>
      <c r="B229">
        <v>3</v>
      </c>
      <c r="C229" t="s">
        <v>22</v>
      </c>
      <c r="D229">
        <v>13</v>
      </c>
      <c r="E229">
        <v>1</v>
      </c>
      <c r="F229">
        <v>28.260999999999999</v>
      </c>
      <c r="G229">
        <v>28.2361</v>
      </c>
      <c r="H229">
        <v>0.08</v>
      </c>
      <c r="I229">
        <v>0.09</v>
      </c>
      <c r="J229">
        <v>8.3599999999999994E-2</v>
      </c>
      <c r="K229">
        <v>8.5000000000000006E-2</v>
      </c>
    </row>
    <row r="230" spans="1:11" x14ac:dyDescent="0.35">
      <c r="A230" t="s">
        <v>33</v>
      </c>
      <c r="B230">
        <v>3</v>
      </c>
      <c r="C230" t="s">
        <v>20</v>
      </c>
      <c r="D230">
        <v>15</v>
      </c>
      <c r="E230">
        <v>1</v>
      </c>
      <c r="F230">
        <v>18.492999999999999</v>
      </c>
      <c r="G230">
        <v>18.4955</v>
      </c>
      <c r="H230">
        <v>65.63</v>
      </c>
      <c r="I230">
        <v>65.56</v>
      </c>
      <c r="J230">
        <v>65.634600000000006</v>
      </c>
      <c r="K230">
        <v>65.522800000000004</v>
      </c>
    </row>
    <row r="231" spans="1:11" x14ac:dyDescent="0.35">
      <c r="A231" t="s">
        <v>33</v>
      </c>
      <c r="B231">
        <v>3</v>
      </c>
      <c r="C231" t="s">
        <v>29</v>
      </c>
      <c r="D231">
        <v>4</v>
      </c>
      <c r="E231">
        <v>1</v>
      </c>
      <c r="F231">
        <v>20.597000000000001</v>
      </c>
      <c r="G231">
        <v>20.571999999999999</v>
      </c>
      <c r="H231">
        <v>15.61</v>
      </c>
      <c r="I231">
        <v>15.89</v>
      </c>
      <c r="J231">
        <v>15.616300000000001</v>
      </c>
      <c r="K231">
        <v>15.885</v>
      </c>
    </row>
    <row r="232" spans="1:11" x14ac:dyDescent="0.35">
      <c r="A232" t="s">
        <v>33</v>
      </c>
      <c r="B232">
        <v>3</v>
      </c>
      <c r="C232" t="s">
        <v>29</v>
      </c>
      <c r="D232">
        <v>4</v>
      </c>
      <c r="E232">
        <v>1</v>
      </c>
      <c r="F232">
        <v>20.547000000000001</v>
      </c>
      <c r="G232">
        <v>20.571999999999999</v>
      </c>
      <c r="H232">
        <v>16.16</v>
      </c>
      <c r="I232">
        <v>15.89</v>
      </c>
      <c r="J232">
        <v>16.158300000000001</v>
      </c>
      <c r="K232">
        <v>15.885</v>
      </c>
    </row>
    <row r="233" spans="1:11" x14ac:dyDescent="0.35">
      <c r="A233" t="s">
        <v>33</v>
      </c>
      <c r="B233">
        <v>3</v>
      </c>
      <c r="C233" t="s">
        <v>19</v>
      </c>
      <c r="D233">
        <v>16</v>
      </c>
      <c r="E233">
        <v>10</v>
      </c>
      <c r="F233">
        <v>27.1</v>
      </c>
      <c r="G233">
        <v>27.20975</v>
      </c>
      <c r="H233">
        <v>1.85</v>
      </c>
      <c r="I233">
        <v>1.72</v>
      </c>
      <c r="J233">
        <v>1.8463000000000001</v>
      </c>
      <c r="K233">
        <v>1.7131000000000001</v>
      </c>
    </row>
    <row r="234" spans="1:11" x14ac:dyDescent="0.35">
      <c r="A234" t="s">
        <v>33</v>
      </c>
      <c r="B234">
        <v>3</v>
      </c>
      <c r="C234" t="s">
        <v>0</v>
      </c>
      <c r="D234">
        <v>10</v>
      </c>
      <c r="E234">
        <v>10</v>
      </c>
      <c r="F234">
        <v>21.449000000000002</v>
      </c>
      <c r="G234">
        <v>21.4742</v>
      </c>
      <c r="H234">
        <v>87.33</v>
      </c>
      <c r="I234">
        <v>86.11</v>
      </c>
      <c r="J234">
        <v>87.311899999999994</v>
      </c>
      <c r="K234">
        <v>85.823300000000003</v>
      </c>
    </row>
    <row r="235" spans="1:11" x14ac:dyDescent="0.35">
      <c r="A235" t="s">
        <v>33</v>
      </c>
      <c r="B235">
        <v>3</v>
      </c>
      <c r="C235" t="s">
        <v>18</v>
      </c>
      <c r="D235">
        <v>12</v>
      </c>
      <c r="E235">
        <v>10</v>
      </c>
      <c r="F235">
        <v>25.286000000000001</v>
      </c>
      <c r="G235">
        <v>25.391100000000002</v>
      </c>
      <c r="H235">
        <v>6.37</v>
      </c>
      <c r="I235">
        <v>5.94</v>
      </c>
      <c r="J235">
        <v>6.3666999999999998</v>
      </c>
      <c r="K235">
        <v>5.9260999999999999</v>
      </c>
    </row>
    <row r="236" spans="1:11" x14ac:dyDescent="0.35">
      <c r="A236" t="s">
        <v>33</v>
      </c>
      <c r="B236">
        <v>3</v>
      </c>
      <c r="C236" t="s">
        <v>22</v>
      </c>
      <c r="D236">
        <v>13</v>
      </c>
      <c r="E236">
        <v>1</v>
      </c>
      <c r="F236">
        <v>28.209</v>
      </c>
      <c r="G236">
        <v>28.2361</v>
      </c>
      <c r="H236">
        <v>0.09</v>
      </c>
      <c r="I236">
        <v>0.09</v>
      </c>
      <c r="J236">
        <v>8.6599999999999996E-2</v>
      </c>
      <c r="K236">
        <v>8.5000000000000006E-2</v>
      </c>
    </row>
    <row r="237" spans="1:11" x14ac:dyDescent="0.35">
      <c r="A237" t="s">
        <v>33</v>
      </c>
      <c r="B237">
        <v>3</v>
      </c>
      <c r="C237" t="s">
        <v>20</v>
      </c>
      <c r="D237">
        <v>15</v>
      </c>
      <c r="E237">
        <v>1</v>
      </c>
      <c r="F237">
        <v>18.541</v>
      </c>
      <c r="G237">
        <v>18.4955</v>
      </c>
      <c r="H237">
        <v>63.52</v>
      </c>
      <c r="I237">
        <v>65.56</v>
      </c>
      <c r="J237">
        <v>63.519599999999997</v>
      </c>
      <c r="K237">
        <v>65.522800000000004</v>
      </c>
    </row>
    <row r="238" spans="1:11" x14ac:dyDescent="0.35">
      <c r="A238" t="s">
        <v>33</v>
      </c>
      <c r="B238">
        <v>3</v>
      </c>
      <c r="C238" t="s">
        <v>19</v>
      </c>
      <c r="D238">
        <v>16</v>
      </c>
      <c r="E238">
        <v>10</v>
      </c>
      <c r="F238">
        <v>27.231000000000002</v>
      </c>
      <c r="G238">
        <v>27.20975</v>
      </c>
      <c r="H238">
        <v>1.69</v>
      </c>
      <c r="I238">
        <v>1.72</v>
      </c>
      <c r="J238">
        <v>1.6883999999999999</v>
      </c>
      <c r="K238">
        <v>1.7131000000000001</v>
      </c>
    </row>
    <row r="239" spans="1:11" x14ac:dyDescent="0.35">
      <c r="A239" t="s">
        <v>33</v>
      </c>
      <c r="B239">
        <v>3</v>
      </c>
      <c r="C239" t="s">
        <v>0</v>
      </c>
      <c r="D239">
        <v>10</v>
      </c>
      <c r="E239">
        <v>10</v>
      </c>
      <c r="F239">
        <v>21.504000000000001</v>
      </c>
      <c r="G239">
        <v>21.4742</v>
      </c>
      <c r="H239">
        <v>84.07</v>
      </c>
      <c r="I239">
        <v>86.11</v>
      </c>
      <c r="J239">
        <v>84.095600000000005</v>
      </c>
      <c r="K239">
        <v>85.823300000000003</v>
      </c>
    </row>
    <row r="240" spans="1:11" x14ac:dyDescent="0.35">
      <c r="A240" t="s">
        <v>33</v>
      </c>
      <c r="B240">
        <v>3</v>
      </c>
      <c r="C240" t="s">
        <v>18</v>
      </c>
      <c r="D240">
        <v>12</v>
      </c>
      <c r="E240">
        <v>10</v>
      </c>
      <c r="F240">
        <v>25.452000000000002</v>
      </c>
      <c r="G240">
        <v>25.391100000000002</v>
      </c>
      <c r="H240">
        <v>5.68</v>
      </c>
      <c r="I240">
        <v>5.94</v>
      </c>
      <c r="J240">
        <v>5.6848000000000001</v>
      </c>
      <c r="K240">
        <v>5.9260999999999999</v>
      </c>
    </row>
    <row r="241" spans="1:11" x14ac:dyDescent="0.35">
      <c r="A241" t="s">
        <v>33</v>
      </c>
      <c r="B241">
        <v>3</v>
      </c>
      <c r="C241" t="s">
        <v>22</v>
      </c>
      <c r="D241">
        <v>13</v>
      </c>
      <c r="E241">
        <v>1</v>
      </c>
      <c r="F241">
        <v>27.806999999999999</v>
      </c>
      <c r="G241">
        <v>28.2361</v>
      </c>
      <c r="H241">
        <v>0.11</v>
      </c>
      <c r="I241">
        <v>0.09</v>
      </c>
      <c r="J241">
        <v>0.114</v>
      </c>
      <c r="K241">
        <v>8.5000000000000006E-2</v>
      </c>
    </row>
    <row r="242" spans="1:11" x14ac:dyDescent="0.35">
      <c r="A242" t="s">
        <v>33</v>
      </c>
      <c r="B242">
        <v>3</v>
      </c>
      <c r="C242" t="s">
        <v>20</v>
      </c>
      <c r="D242">
        <v>15</v>
      </c>
      <c r="E242">
        <v>1</v>
      </c>
      <c r="F242">
        <v>18.457999999999998</v>
      </c>
      <c r="G242">
        <v>18.4955</v>
      </c>
      <c r="H242">
        <v>67.22</v>
      </c>
      <c r="I242">
        <v>65.56</v>
      </c>
      <c r="J242">
        <v>67.221100000000007</v>
      </c>
      <c r="K242">
        <v>65.522800000000004</v>
      </c>
    </row>
    <row r="243" spans="1:11" x14ac:dyDescent="0.35">
      <c r="A243" t="s">
        <v>33</v>
      </c>
      <c r="B243">
        <v>3</v>
      </c>
      <c r="C243" t="s">
        <v>28</v>
      </c>
      <c r="D243">
        <v>5</v>
      </c>
      <c r="E243">
        <v>1</v>
      </c>
      <c r="F243">
        <v>22.89</v>
      </c>
      <c r="G243">
        <v>22.862500000000001</v>
      </c>
      <c r="H243">
        <v>3.27</v>
      </c>
      <c r="I243">
        <v>3.33</v>
      </c>
      <c r="J243">
        <v>3.2658999999999998</v>
      </c>
      <c r="K243">
        <v>3.3277999999999999</v>
      </c>
    </row>
    <row r="244" spans="1:11" x14ac:dyDescent="0.35">
      <c r="A244" t="s">
        <v>33</v>
      </c>
      <c r="B244">
        <v>3</v>
      </c>
      <c r="C244" t="s">
        <v>28</v>
      </c>
      <c r="D244">
        <v>5</v>
      </c>
      <c r="E244">
        <v>1</v>
      </c>
      <c r="F244">
        <v>22.835000000000001</v>
      </c>
      <c r="G244">
        <v>22.862500000000001</v>
      </c>
      <c r="H244">
        <v>3.39</v>
      </c>
      <c r="I244">
        <v>3.33</v>
      </c>
      <c r="J244">
        <v>3.3908999999999998</v>
      </c>
      <c r="K244">
        <v>3.3277999999999999</v>
      </c>
    </row>
    <row r="245" spans="1:11" x14ac:dyDescent="0.35">
      <c r="A245" t="s">
        <v>33</v>
      </c>
      <c r="B245">
        <v>3</v>
      </c>
      <c r="C245" t="s">
        <v>19</v>
      </c>
      <c r="D245">
        <v>16</v>
      </c>
      <c r="E245">
        <v>10</v>
      </c>
      <c r="F245">
        <v>27.295000000000002</v>
      </c>
      <c r="G245">
        <v>27.20975</v>
      </c>
      <c r="H245">
        <v>1.62</v>
      </c>
      <c r="I245">
        <v>1.72</v>
      </c>
      <c r="J245">
        <v>1.6163000000000001</v>
      </c>
      <c r="K245">
        <v>1.7131000000000001</v>
      </c>
    </row>
    <row r="246" spans="1:11" x14ac:dyDescent="0.35">
      <c r="A246" t="s">
        <v>33</v>
      </c>
      <c r="B246">
        <v>3</v>
      </c>
      <c r="C246" t="s">
        <v>0</v>
      </c>
      <c r="D246">
        <v>10</v>
      </c>
      <c r="E246">
        <v>10</v>
      </c>
      <c r="F246">
        <v>21.398</v>
      </c>
      <c r="G246">
        <v>21.4742</v>
      </c>
      <c r="H246">
        <v>90.39</v>
      </c>
      <c r="I246">
        <v>86.11</v>
      </c>
      <c r="J246">
        <v>90.4041</v>
      </c>
      <c r="K246">
        <v>85.823300000000003</v>
      </c>
    </row>
    <row r="247" spans="1:11" x14ac:dyDescent="0.35">
      <c r="A247" t="s">
        <v>33</v>
      </c>
      <c r="B247">
        <v>3</v>
      </c>
      <c r="C247" t="s">
        <v>18</v>
      </c>
      <c r="D247">
        <v>12</v>
      </c>
      <c r="E247">
        <v>10</v>
      </c>
      <c r="F247">
        <v>25.285</v>
      </c>
      <c r="G247">
        <v>25.391100000000002</v>
      </c>
      <c r="H247">
        <v>6.37</v>
      </c>
      <c r="I247">
        <v>5.94</v>
      </c>
      <c r="J247">
        <v>6.3711000000000002</v>
      </c>
      <c r="K247">
        <v>5.9260999999999999</v>
      </c>
    </row>
    <row r="248" spans="1:11" x14ac:dyDescent="0.35">
      <c r="A248" t="s">
        <v>33</v>
      </c>
      <c r="B248">
        <v>3</v>
      </c>
      <c r="C248" t="s">
        <v>22</v>
      </c>
      <c r="D248">
        <v>13</v>
      </c>
      <c r="E248">
        <v>1</v>
      </c>
      <c r="F248">
        <v>28.423999999999999</v>
      </c>
      <c r="G248">
        <v>28.2361</v>
      </c>
      <c r="H248">
        <v>7.0000000000000007E-2</v>
      </c>
      <c r="I248">
        <v>0.09</v>
      </c>
      <c r="J248">
        <v>7.4800000000000005E-2</v>
      </c>
      <c r="K248">
        <v>8.5000000000000006E-2</v>
      </c>
    </row>
    <row r="249" spans="1:11" x14ac:dyDescent="0.35">
      <c r="A249" t="s">
        <v>33</v>
      </c>
      <c r="B249">
        <v>3</v>
      </c>
      <c r="C249" t="s">
        <v>20</v>
      </c>
      <c r="D249">
        <v>15</v>
      </c>
      <c r="E249">
        <v>1</v>
      </c>
      <c r="F249">
        <v>18.527999999999999</v>
      </c>
      <c r="G249">
        <v>18.4955</v>
      </c>
      <c r="H249">
        <v>64.099999999999994</v>
      </c>
      <c r="I249">
        <v>65.56</v>
      </c>
      <c r="J249">
        <v>64.085599999999999</v>
      </c>
      <c r="K249">
        <v>65.522800000000004</v>
      </c>
    </row>
    <row r="250" spans="1:11" x14ac:dyDescent="0.35">
      <c r="A250" t="s">
        <v>33</v>
      </c>
      <c r="B250">
        <v>3</v>
      </c>
      <c r="C250" t="s">
        <v>19</v>
      </c>
      <c r="D250">
        <v>16</v>
      </c>
      <c r="E250">
        <v>10</v>
      </c>
      <c r="F250">
        <v>27.434999999999999</v>
      </c>
      <c r="G250">
        <v>27.20975</v>
      </c>
      <c r="H250">
        <v>1.47</v>
      </c>
      <c r="I250">
        <v>1.72</v>
      </c>
      <c r="J250">
        <v>1.4690000000000001</v>
      </c>
      <c r="K250">
        <v>1.7131000000000001</v>
      </c>
    </row>
    <row r="251" spans="1:11" x14ac:dyDescent="0.35">
      <c r="A251" t="s">
        <v>33</v>
      </c>
      <c r="B251">
        <v>3</v>
      </c>
      <c r="C251" t="s">
        <v>15</v>
      </c>
      <c r="D251">
        <v>11</v>
      </c>
      <c r="E251">
        <v>10</v>
      </c>
      <c r="F251">
        <v>23.774000000000001</v>
      </c>
      <c r="G251">
        <v>23.720199999999998</v>
      </c>
      <c r="H251">
        <v>17.87</v>
      </c>
      <c r="I251">
        <v>18.579999999999998</v>
      </c>
      <c r="J251">
        <v>17.8657</v>
      </c>
      <c r="K251">
        <v>18.533899999999999</v>
      </c>
    </row>
    <row r="252" spans="1:11" x14ac:dyDescent="0.35">
      <c r="A252" t="s">
        <v>33</v>
      </c>
      <c r="B252">
        <v>3</v>
      </c>
      <c r="C252" t="s">
        <v>18</v>
      </c>
      <c r="D252">
        <v>12</v>
      </c>
      <c r="E252">
        <v>10</v>
      </c>
      <c r="F252">
        <v>25.593</v>
      </c>
      <c r="G252">
        <v>25.391100000000002</v>
      </c>
      <c r="H252">
        <v>5.16</v>
      </c>
      <c r="I252">
        <v>5.94</v>
      </c>
      <c r="J252">
        <v>5.1632999999999996</v>
      </c>
      <c r="K252">
        <v>5.9260999999999999</v>
      </c>
    </row>
    <row r="253" spans="1:11" x14ac:dyDescent="0.35">
      <c r="A253" t="s">
        <v>33</v>
      </c>
      <c r="B253">
        <v>3</v>
      </c>
      <c r="C253" t="s">
        <v>21</v>
      </c>
      <c r="D253">
        <v>14</v>
      </c>
      <c r="E253">
        <v>1</v>
      </c>
      <c r="F253">
        <v>23.271000000000001</v>
      </c>
      <c r="G253">
        <v>23.287400000000002</v>
      </c>
      <c r="H253">
        <v>2.52</v>
      </c>
      <c r="I253">
        <v>2.4900000000000002</v>
      </c>
      <c r="J253">
        <v>2.5182000000000002</v>
      </c>
      <c r="K253">
        <v>2.4902000000000002</v>
      </c>
    </row>
    <row r="254" spans="1:11" x14ac:dyDescent="0.35">
      <c r="A254" t="s">
        <v>33</v>
      </c>
      <c r="B254">
        <v>3</v>
      </c>
      <c r="C254" t="s">
        <v>20</v>
      </c>
      <c r="D254">
        <v>15</v>
      </c>
      <c r="E254">
        <v>1</v>
      </c>
      <c r="F254">
        <v>18.417999999999999</v>
      </c>
      <c r="G254">
        <v>18.4955</v>
      </c>
      <c r="H254">
        <v>69.099999999999994</v>
      </c>
      <c r="I254">
        <v>65.56</v>
      </c>
      <c r="J254">
        <v>69.081299999999999</v>
      </c>
      <c r="K254">
        <v>65.522800000000004</v>
      </c>
    </row>
    <row r="255" spans="1:11" x14ac:dyDescent="0.35">
      <c r="A255" t="s">
        <v>33</v>
      </c>
      <c r="B255">
        <v>3</v>
      </c>
      <c r="C255" t="s">
        <v>27</v>
      </c>
      <c r="D255">
        <v>6</v>
      </c>
      <c r="E255">
        <v>1</v>
      </c>
      <c r="F255">
        <v>25.155999999999999</v>
      </c>
      <c r="G255">
        <v>25.227</v>
      </c>
      <c r="H255">
        <v>0.7</v>
      </c>
      <c r="I255">
        <v>0.66</v>
      </c>
      <c r="J255">
        <v>0.69569999999999999</v>
      </c>
      <c r="K255">
        <v>0.66279999999999994</v>
      </c>
    </row>
    <row r="256" spans="1:11" x14ac:dyDescent="0.35">
      <c r="A256" t="s">
        <v>33</v>
      </c>
      <c r="B256">
        <v>3</v>
      </c>
      <c r="C256" t="s">
        <v>27</v>
      </c>
      <c r="D256">
        <v>6</v>
      </c>
      <c r="E256">
        <v>1</v>
      </c>
      <c r="F256">
        <v>25.297999999999998</v>
      </c>
      <c r="G256">
        <v>25.227</v>
      </c>
      <c r="H256">
        <v>0.63</v>
      </c>
      <c r="I256">
        <v>0.66</v>
      </c>
      <c r="J256">
        <v>0.63149999999999995</v>
      </c>
      <c r="K256">
        <v>0.66279999999999994</v>
      </c>
    </row>
    <row r="257" spans="1:11" x14ac:dyDescent="0.35">
      <c r="A257" t="s">
        <v>33</v>
      </c>
      <c r="B257">
        <v>3</v>
      </c>
      <c r="C257" t="s">
        <v>25</v>
      </c>
      <c r="D257">
        <v>9</v>
      </c>
      <c r="E257">
        <v>1</v>
      </c>
      <c r="F257">
        <v>32.506</v>
      </c>
      <c r="G257">
        <v>33.598599999999998</v>
      </c>
      <c r="H257">
        <v>0</v>
      </c>
      <c r="I257">
        <v>0</v>
      </c>
      <c r="J257">
        <v>4.5999999999999999E-3</v>
      </c>
      <c r="K257">
        <v>2.2000000000000001E-3</v>
      </c>
    </row>
    <row r="258" spans="1:11" x14ac:dyDescent="0.35">
      <c r="A258" t="s">
        <v>33</v>
      </c>
      <c r="B258">
        <v>3</v>
      </c>
      <c r="C258" t="s">
        <v>15</v>
      </c>
      <c r="D258">
        <v>11</v>
      </c>
      <c r="E258">
        <v>10</v>
      </c>
      <c r="F258">
        <v>23.669</v>
      </c>
      <c r="G258">
        <v>23.720199999999998</v>
      </c>
      <c r="H258">
        <v>19.190000000000001</v>
      </c>
      <c r="I258">
        <v>18.579999999999998</v>
      </c>
      <c r="J258">
        <v>19.192900000000002</v>
      </c>
      <c r="K258">
        <v>18.533899999999999</v>
      </c>
    </row>
    <row r="259" spans="1:11" x14ac:dyDescent="0.35">
      <c r="A259" t="s">
        <v>33</v>
      </c>
      <c r="B259">
        <v>3</v>
      </c>
      <c r="C259" t="s">
        <v>18</v>
      </c>
      <c r="D259">
        <v>12</v>
      </c>
      <c r="E259">
        <v>10</v>
      </c>
      <c r="F259">
        <v>25.475000000000001</v>
      </c>
      <c r="G259">
        <v>25.391100000000002</v>
      </c>
      <c r="H259">
        <v>5.6</v>
      </c>
      <c r="I259">
        <v>5.94</v>
      </c>
      <c r="J259">
        <v>5.5963000000000003</v>
      </c>
      <c r="K259">
        <v>5.9260999999999999</v>
      </c>
    </row>
    <row r="260" spans="1:11" x14ac:dyDescent="0.35">
      <c r="A260" t="s">
        <v>33</v>
      </c>
      <c r="B260">
        <v>3</v>
      </c>
      <c r="C260" t="s">
        <v>21</v>
      </c>
      <c r="D260">
        <v>14</v>
      </c>
      <c r="E260">
        <v>1</v>
      </c>
      <c r="F260">
        <v>23.233000000000001</v>
      </c>
      <c r="G260">
        <v>23.287400000000002</v>
      </c>
      <c r="H260">
        <v>2.58</v>
      </c>
      <c r="I260">
        <v>2.4900000000000002</v>
      </c>
      <c r="J260">
        <v>2.5844</v>
      </c>
      <c r="K260">
        <v>2.4902000000000002</v>
      </c>
    </row>
    <row r="261" spans="1:11" x14ac:dyDescent="0.35">
      <c r="A261" t="s">
        <v>33</v>
      </c>
      <c r="B261">
        <v>3</v>
      </c>
      <c r="C261" t="s">
        <v>20</v>
      </c>
      <c r="D261">
        <v>15</v>
      </c>
      <c r="E261">
        <v>1</v>
      </c>
      <c r="F261">
        <v>18.497</v>
      </c>
      <c r="G261">
        <v>18.4955</v>
      </c>
      <c r="H261">
        <v>65.459999999999994</v>
      </c>
      <c r="I261">
        <v>65.56</v>
      </c>
      <c r="J261">
        <v>65.455699999999993</v>
      </c>
      <c r="K261">
        <v>65.522800000000004</v>
      </c>
    </row>
    <row r="262" spans="1:11" x14ac:dyDescent="0.35">
      <c r="A262" t="s">
        <v>33</v>
      </c>
      <c r="B262">
        <v>3</v>
      </c>
      <c r="C262" t="s">
        <v>25</v>
      </c>
      <c r="D262">
        <v>9</v>
      </c>
      <c r="E262">
        <v>1</v>
      </c>
      <c r="F262">
        <v>33.908999999999999</v>
      </c>
      <c r="G262">
        <v>33.598599999999998</v>
      </c>
      <c r="H262">
        <v>0</v>
      </c>
      <c r="I262">
        <v>0</v>
      </c>
      <c r="J262">
        <v>1.8E-3</v>
      </c>
      <c r="K262">
        <v>2.2000000000000001E-3</v>
      </c>
    </row>
    <row r="263" spans="1:11" x14ac:dyDescent="0.35">
      <c r="A263" t="s">
        <v>33</v>
      </c>
      <c r="B263">
        <v>3</v>
      </c>
      <c r="C263" t="s">
        <v>15</v>
      </c>
      <c r="D263">
        <v>11</v>
      </c>
      <c r="E263">
        <v>10</v>
      </c>
      <c r="F263">
        <v>23.648</v>
      </c>
      <c r="G263">
        <v>23.720199999999998</v>
      </c>
      <c r="H263">
        <v>19.46</v>
      </c>
      <c r="I263">
        <v>18.579999999999998</v>
      </c>
      <c r="J263">
        <v>19.469899999999999</v>
      </c>
      <c r="K263">
        <v>18.533899999999999</v>
      </c>
    </row>
    <row r="264" spans="1:11" x14ac:dyDescent="0.35">
      <c r="A264" t="s">
        <v>33</v>
      </c>
      <c r="B264">
        <v>3</v>
      </c>
      <c r="C264" t="s">
        <v>18</v>
      </c>
      <c r="D264">
        <v>12</v>
      </c>
      <c r="E264">
        <v>10</v>
      </c>
      <c r="F264">
        <v>25.367000000000001</v>
      </c>
      <c r="G264">
        <v>25.391100000000002</v>
      </c>
      <c r="H264">
        <v>6.03</v>
      </c>
      <c r="I264">
        <v>5.94</v>
      </c>
      <c r="J264">
        <v>6.0243000000000002</v>
      </c>
      <c r="K264">
        <v>5.9260999999999999</v>
      </c>
    </row>
    <row r="265" spans="1:11" x14ac:dyDescent="0.35">
      <c r="A265" t="s">
        <v>33</v>
      </c>
      <c r="B265">
        <v>3</v>
      </c>
      <c r="C265" t="s">
        <v>21</v>
      </c>
      <c r="D265">
        <v>14</v>
      </c>
      <c r="E265">
        <v>1</v>
      </c>
      <c r="F265">
        <v>23.393000000000001</v>
      </c>
      <c r="G265">
        <v>23.287400000000002</v>
      </c>
      <c r="H265">
        <v>2.3199999999999998</v>
      </c>
      <c r="I265">
        <v>2.4900000000000002</v>
      </c>
      <c r="J265">
        <v>2.3170999999999999</v>
      </c>
      <c r="K265">
        <v>2.4902000000000002</v>
      </c>
    </row>
    <row r="266" spans="1:11" x14ac:dyDescent="0.35">
      <c r="A266" t="s">
        <v>33</v>
      </c>
      <c r="B266">
        <v>3</v>
      </c>
      <c r="C266" t="s">
        <v>20</v>
      </c>
      <c r="D266">
        <v>15</v>
      </c>
      <c r="E266">
        <v>1</v>
      </c>
      <c r="F266">
        <v>18.533000000000001</v>
      </c>
      <c r="G266">
        <v>18.4955</v>
      </c>
      <c r="H266">
        <v>63.88</v>
      </c>
      <c r="I266">
        <v>65.56</v>
      </c>
      <c r="J266">
        <v>63.8673</v>
      </c>
      <c r="K266">
        <v>65.522800000000004</v>
      </c>
    </row>
    <row r="267" spans="1:11" x14ac:dyDescent="0.35">
      <c r="A267" t="s">
        <v>33</v>
      </c>
      <c r="B267">
        <v>3</v>
      </c>
      <c r="C267" t="s">
        <v>26</v>
      </c>
      <c r="D267">
        <v>7</v>
      </c>
      <c r="E267">
        <v>1</v>
      </c>
      <c r="F267">
        <v>27.795000000000002</v>
      </c>
      <c r="G267">
        <v>27.721</v>
      </c>
      <c r="H267">
        <v>0.11</v>
      </c>
      <c r="I267">
        <v>0.12</v>
      </c>
      <c r="J267">
        <v>0.1149</v>
      </c>
      <c r="K267">
        <v>0.12089999999999999</v>
      </c>
    </row>
    <row r="268" spans="1:11" x14ac:dyDescent="0.35">
      <c r="A268" t="s">
        <v>33</v>
      </c>
      <c r="B268">
        <v>3</v>
      </c>
      <c r="C268" t="s">
        <v>26</v>
      </c>
      <c r="D268">
        <v>7</v>
      </c>
      <c r="E268">
        <v>1</v>
      </c>
      <c r="F268">
        <v>27.646999999999998</v>
      </c>
      <c r="G268">
        <v>27.721</v>
      </c>
      <c r="H268">
        <v>0.13</v>
      </c>
      <c r="I268">
        <v>0.12</v>
      </c>
      <c r="J268">
        <v>0.12709999999999999</v>
      </c>
      <c r="K268">
        <v>0.12089999999999999</v>
      </c>
    </row>
    <row r="269" spans="1:11" x14ac:dyDescent="0.35">
      <c r="A269" t="s">
        <v>33</v>
      </c>
      <c r="B269">
        <v>3</v>
      </c>
      <c r="C269" t="s">
        <v>25</v>
      </c>
      <c r="D269">
        <v>9</v>
      </c>
      <c r="E269">
        <v>1</v>
      </c>
      <c r="F269">
        <v>33.106000000000002</v>
      </c>
      <c r="G269">
        <v>33.598599999999998</v>
      </c>
      <c r="H269">
        <v>0</v>
      </c>
      <c r="I269">
        <v>0</v>
      </c>
      <c r="J269">
        <v>3.0999999999999999E-3</v>
      </c>
      <c r="K269">
        <v>2.2000000000000001E-3</v>
      </c>
    </row>
    <row r="270" spans="1:11" x14ac:dyDescent="0.35">
      <c r="A270" t="s">
        <v>33</v>
      </c>
      <c r="B270">
        <v>3</v>
      </c>
      <c r="C270" t="s">
        <v>15</v>
      </c>
      <c r="D270">
        <v>11</v>
      </c>
      <c r="E270">
        <v>10</v>
      </c>
      <c r="F270">
        <v>23.65</v>
      </c>
      <c r="G270">
        <v>23.720199999999998</v>
      </c>
      <c r="H270">
        <v>19.440000000000001</v>
      </c>
      <c r="I270">
        <v>18.579999999999998</v>
      </c>
      <c r="J270">
        <v>19.443300000000001</v>
      </c>
      <c r="K270">
        <v>18.533899999999999</v>
      </c>
    </row>
    <row r="271" spans="1:11" x14ac:dyDescent="0.35">
      <c r="A271" t="s">
        <v>33</v>
      </c>
      <c r="B271">
        <v>3</v>
      </c>
      <c r="C271" t="s">
        <v>18</v>
      </c>
      <c r="D271">
        <v>12</v>
      </c>
      <c r="E271">
        <v>10</v>
      </c>
      <c r="F271">
        <v>25.242000000000001</v>
      </c>
      <c r="G271">
        <v>25.391100000000002</v>
      </c>
      <c r="H271">
        <v>6.56</v>
      </c>
      <c r="I271">
        <v>5.94</v>
      </c>
      <c r="J271">
        <v>6.5608000000000004</v>
      </c>
      <c r="K271">
        <v>5.9260999999999999</v>
      </c>
    </row>
    <row r="272" spans="1:11" x14ac:dyDescent="0.35">
      <c r="A272" t="s">
        <v>33</v>
      </c>
      <c r="B272">
        <v>3</v>
      </c>
      <c r="C272" t="s">
        <v>21</v>
      </c>
      <c r="D272">
        <v>14</v>
      </c>
      <c r="E272">
        <v>1</v>
      </c>
      <c r="F272">
        <v>23.309000000000001</v>
      </c>
      <c r="G272">
        <v>23.287400000000002</v>
      </c>
      <c r="H272">
        <v>2.4500000000000002</v>
      </c>
      <c r="I272">
        <v>2.4900000000000002</v>
      </c>
      <c r="J272">
        <v>2.4538000000000002</v>
      </c>
      <c r="K272">
        <v>2.4902000000000002</v>
      </c>
    </row>
    <row r="273" spans="1:11" x14ac:dyDescent="0.35">
      <c r="A273" t="s">
        <v>33</v>
      </c>
      <c r="B273">
        <v>3</v>
      </c>
      <c r="C273" t="s">
        <v>20</v>
      </c>
      <c r="D273">
        <v>15</v>
      </c>
      <c r="E273">
        <v>1</v>
      </c>
      <c r="F273">
        <v>18.573</v>
      </c>
      <c r="G273">
        <v>18.4955</v>
      </c>
      <c r="H273">
        <v>62.14</v>
      </c>
      <c r="I273">
        <v>65.56</v>
      </c>
      <c r="J273">
        <v>62.147500000000001</v>
      </c>
      <c r="K273">
        <v>65.522800000000004</v>
      </c>
    </row>
    <row r="274" spans="1:11" x14ac:dyDescent="0.35">
      <c r="A274" t="s">
        <v>33</v>
      </c>
      <c r="B274">
        <v>3</v>
      </c>
      <c r="C274" t="s">
        <v>25</v>
      </c>
      <c r="D274">
        <v>9</v>
      </c>
      <c r="E274">
        <v>1</v>
      </c>
      <c r="F274">
        <v>34.29</v>
      </c>
      <c r="G274">
        <v>33.598599999999998</v>
      </c>
      <c r="H274">
        <v>0</v>
      </c>
      <c r="I274">
        <v>0</v>
      </c>
      <c r="J274">
        <v>1.4E-3</v>
      </c>
      <c r="K274">
        <v>2.2000000000000001E-3</v>
      </c>
    </row>
    <row r="275" spans="1:11" x14ac:dyDescent="0.35">
      <c r="A275" t="s">
        <v>33</v>
      </c>
      <c r="B275">
        <v>3</v>
      </c>
      <c r="C275" t="s">
        <v>15</v>
      </c>
      <c r="D275">
        <v>11</v>
      </c>
      <c r="E275">
        <v>10</v>
      </c>
      <c r="F275">
        <v>23.946999999999999</v>
      </c>
      <c r="G275">
        <v>23.720199999999998</v>
      </c>
      <c r="H275">
        <v>15.88</v>
      </c>
      <c r="I275">
        <v>18.579999999999998</v>
      </c>
      <c r="J275">
        <v>15.876300000000001</v>
      </c>
      <c r="K275">
        <v>18.533899999999999</v>
      </c>
    </row>
    <row r="276" spans="1:11" x14ac:dyDescent="0.35">
      <c r="A276" t="s">
        <v>33</v>
      </c>
      <c r="B276">
        <v>3</v>
      </c>
      <c r="C276" t="s">
        <v>25</v>
      </c>
      <c r="D276">
        <v>9</v>
      </c>
      <c r="E276">
        <v>1</v>
      </c>
      <c r="F276">
        <v>32.494999999999997</v>
      </c>
      <c r="G276">
        <v>33.598599999999998</v>
      </c>
      <c r="H276">
        <v>0</v>
      </c>
      <c r="I276">
        <v>0</v>
      </c>
      <c r="J276">
        <v>4.5999999999999999E-3</v>
      </c>
      <c r="K276">
        <v>2.2000000000000001E-3</v>
      </c>
    </row>
    <row r="277" spans="1:11" x14ac:dyDescent="0.35">
      <c r="A277" t="s">
        <v>33</v>
      </c>
      <c r="B277">
        <v>3</v>
      </c>
      <c r="C277" t="s">
        <v>21</v>
      </c>
      <c r="D277">
        <v>14</v>
      </c>
      <c r="E277">
        <v>1</v>
      </c>
      <c r="F277">
        <v>23.17</v>
      </c>
      <c r="G277">
        <v>23.287400000000002</v>
      </c>
      <c r="H277">
        <v>2.7</v>
      </c>
      <c r="I277">
        <v>2.4900000000000002</v>
      </c>
      <c r="J277">
        <v>2.6979000000000002</v>
      </c>
      <c r="K277">
        <v>2.4902000000000002</v>
      </c>
    </row>
    <row r="278" spans="1:11" x14ac:dyDescent="0.35">
      <c r="A278" t="s">
        <v>33</v>
      </c>
      <c r="B278">
        <v>3</v>
      </c>
      <c r="C278" t="s">
        <v>25</v>
      </c>
      <c r="D278">
        <v>9</v>
      </c>
      <c r="E278">
        <v>1</v>
      </c>
      <c r="F278">
        <v>33.600999999999999</v>
      </c>
      <c r="G278">
        <v>33.598599999999998</v>
      </c>
      <c r="H278">
        <v>0</v>
      </c>
      <c r="I278">
        <v>0</v>
      </c>
      <c r="J278">
        <v>2.2000000000000001E-3</v>
      </c>
      <c r="K278">
        <v>2.2000000000000001E-3</v>
      </c>
    </row>
    <row r="279" spans="1:11" x14ac:dyDescent="0.35">
      <c r="A279" t="s">
        <v>33</v>
      </c>
      <c r="B279">
        <v>3</v>
      </c>
      <c r="C279" t="s">
        <v>24</v>
      </c>
      <c r="D279">
        <v>8</v>
      </c>
      <c r="E279">
        <v>1</v>
      </c>
      <c r="F279">
        <v>33.145000000000003</v>
      </c>
      <c r="G279">
        <v>33.113500000000002</v>
      </c>
      <c r="H279">
        <v>0</v>
      </c>
      <c r="I279">
        <v>0</v>
      </c>
      <c r="J279">
        <v>3.0000000000000001E-3</v>
      </c>
      <c r="K279">
        <v>3.0000000000000001E-3</v>
      </c>
    </row>
    <row r="280" spans="1:11" x14ac:dyDescent="0.35">
      <c r="A280" t="s">
        <v>33</v>
      </c>
      <c r="B280">
        <v>3</v>
      </c>
      <c r="C280" t="s">
        <v>24</v>
      </c>
      <c r="D280">
        <v>8</v>
      </c>
      <c r="E280">
        <v>1</v>
      </c>
      <c r="F280">
        <v>33.082000000000001</v>
      </c>
      <c r="G280">
        <v>33.113500000000002</v>
      </c>
      <c r="H280">
        <v>0</v>
      </c>
      <c r="I280">
        <v>0</v>
      </c>
      <c r="J280">
        <v>3.0999999999999999E-3</v>
      </c>
      <c r="K280">
        <v>3.0000000000000001E-3</v>
      </c>
    </row>
    <row r="281" spans="1:11" x14ac:dyDescent="0.35">
      <c r="A281" t="s">
        <v>33</v>
      </c>
      <c r="B281">
        <v>3</v>
      </c>
      <c r="C281" t="s">
        <v>25</v>
      </c>
      <c r="D281">
        <v>9</v>
      </c>
      <c r="E281">
        <v>1</v>
      </c>
      <c r="F281">
        <v>34.999000000000002</v>
      </c>
      <c r="G281">
        <v>33.598599999999998</v>
      </c>
      <c r="H281">
        <v>0</v>
      </c>
      <c r="I281">
        <v>0</v>
      </c>
      <c r="J281">
        <v>8.0000000000000004E-4</v>
      </c>
      <c r="K281">
        <v>2.2000000000000001E-3</v>
      </c>
    </row>
    <row r="282" spans="1:11" x14ac:dyDescent="0.35">
      <c r="A282" t="s">
        <v>33</v>
      </c>
      <c r="B282">
        <v>3</v>
      </c>
      <c r="C282" t="s">
        <v>15</v>
      </c>
      <c r="D282">
        <v>11</v>
      </c>
      <c r="E282">
        <v>10</v>
      </c>
      <c r="F282">
        <v>23.754999999999999</v>
      </c>
      <c r="G282">
        <v>23.720199999999998</v>
      </c>
      <c r="H282">
        <v>18.09</v>
      </c>
      <c r="I282">
        <v>18.579999999999998</v>
      </c>
      <c r="J282">
        <v>18.0989</v>
      </c>
      <c r="K282">
        <v>18.533899999999999</v>
      </c>
    </row>
    <row r="283" spans="1:11" x14ac:dyDescent="0.35">
      <c r="A283" t="s">
        <v>33</v>
      </c>
      <c r="B283">
        <v>3</v>
      </c>
      <c r="C283" t="s">
        <v>25</v>
      </c>
      <c r="D283">
        <v>9</v>
      </c>
      <c r="E283">
        <v>1</v>
      </c>
      <c r="F283">
        <v>32.783999999999999</v>
      </c>
      <c r="G283">
        <v>33.598599999999998</v>
      </c>
      <c r="H283">
        <v>0</v>
      </c>
      <c r="I283">
        <v>0</v>
      </c>
      <c r="J283">
        <v>3.8E-3</v>
      </c>
      <c r="K283">
        <v>2.2000000000000001E-3</v>
      </c>
    </row>
    <row r="284" spans="1:11" x14ac:dyDescent="0.35">
      <c r="A284" t="s">
        <v>33</v>
      </c>
      <c r="B284">
        <v>3</v>
      </c>
      <c r="C284" t="s">
        <v>21</v>
      </c>
      <c r="D284">
        <v>14</v>
      </c>
      <c r="E284">
        <v>1</v>
      </c>
      <c r="F284">
        <v>23.407</v>
      </c>
      <c r="G284">
        <v>23.287400000000002</v>
      </c>
      <c r="H284">
        <v>2.2999999999999998</v>
      </c>
      <c r="I284">
        <v>2.4900000000000002</v>
      </c>
      <c r="J284">
        <v>2.2949999999999999</v>
      </c>
      <c r="K284">
        <v>2.4902000000000002</v>
      </c>
    </row>
    <row r="285" spans="1:11" x14ac:dyDescent="0.35">
      <c r="A285" t="s">
        <v>33</v>
      </c>
      <c r="B285">
        <v>3</v>
      </c>
      <c r="C285" t="s">
        <v>25</v>
      </c>
      <c r="D285">
        <v>9</v>
      </c>
      <c r="E285">
        <v>1</v>
      </c>
      <c r="F285">
        <v>33.552</v>
      </c>
      <c r="G285">
        <v>33.598599999999998</v>
      </c>
      <c r="H285">
        <v>0</v>
      </c>
      <c r="I285">
        <v>0</v>
      </c>
      <c r="J285">
        <v>2.3E-3</v>
      </c>
      <c r="K285">
        <v>2.2000000000000001E-3</v>
      </c>
    </row>
    <row r="286" spans="1:11" x14ac:dyDescent="0.35">
      <c r="A286" t="s">
        <v>33</v>
      </c>
      <c r="B286">
        <v>3</v>
      </c>
      <c r="C286" t="s">
        <v>25</v>
      </c>
      <c r="D286">
        <v>9</v>
      </c>
      <c r="E286">
        <v>1</v>
      </c>
      <c r="F286">
        <v>34.744</v>
      </c>
      <c r="G286">
        <v>33.598599999999998</v>
      </c>
      <c r="H286">
        <v>0</v>
      </c>
      <c r="I286">
        <v>0</v>
      </c>
      <c r="J286">
        <v>1E-3</v>
      </c>
      <c r="K286">
        <v>2.2000000000000001E-3</v>
      </c>
    </row>
    <row r="287" spans="1:11" x14ac:dyDescent="0.35">
      <c r="A287" t="s">
        <v>23</v>
      </c>
      <c r="B287">
        <v>4</v>
      </c>
      <c r="C287" t="s">
        <v>18</v>
      </c>
      <c r="D287">
        <v>9</v>
      </c>
      <c r="E287">
        <v>10</v>
      </c>
      <c r="F287">
        <v>25.584</v>
      </c>
      <c r="G287">
        <v>25.432666666666599</v>
      </c>
      <c r="H287">
        <v>5.8</v>
      </c>
      <c r="I287">
        <v>6.46</v>
      </c>
      <c r="J287">
        <v>5.8037999999999998</v>
      </c>
      <c r="K287">
        <v>6.4231999999999996</v>
      </c>
    </row>
    <row r="288" spans="1:11" x14ac:dyDescent="0.35">
      <c r="A288" t="s">
        <v>23</v>
      </c>
      <c r="B288">
        <v>4</v>
      </c>
      <c r="C288" t="s">
        <v>18</v>
      </c>
      <c r="D288">
        <v>9</v>
      </c>
      <c r="E288">
        <v>10</v>
      </c>
      <c r="F288">
        <v>25.687999999999999</v>
      </c>
      <c r="G288">
        <v>25.432666666666599</v>
      </c>
      <c r="H288">
        <v>5.41</v>
      </c>
      <c r="I288">
        <v>6.46</v>
      </c>
      <c r="J288">
        <v>5.4131</v>
      </c>
      <c r="K288">
        <v>6.4231999999999996</v>
      </c>
    </row>
    <row r="289" spans="1:11" x14ac:dyDescent="0.35">
      <c r="A289" t="s">
        <v>23</v>
      </c>
      <c r="B289">
        <v>4</v>
      </c>
      <c r="C289" t="s">
        <v>0</v>
      </c>
      <c r="D289">
        <v>17</v>
      </c>
      <c r="E289">
        <v>10</v>
      </c>
      <c r="F289">
        <v>21.481000000000002</v>
      </c>
      <c r="G289">
        <v>21.439</v>
      </c>
      <c r="H289">
        <v>90.75</v>
      </c>
      <c r="I289">
        <v>93.4</v>
      </c>
      <c r="J289">
        <v>90.727000000000004</v>
      </c>
      <c r="K289">
        <v>93.316599999999994</v>
      </c>
    </row>
    <row r="290" spans="1:11" x14ac:dyDescent="0.35">
      <c r="A290" t="s">
        <v>23</v>
      </c>
      <c r="B290">
        <v>4</v>
      </c>
      <c r="C290" t="s">
        <v>0</v>
      </c>
      <c r="D290">
        <v>17</v>
      </c>
      <c r="E290">
        <v>10</v>
      </c>
      <c r="F290">
        <v>21.462</v>
      </c>
      <c r="G290">
        <v>21.439</v>
      </c>
      <c r="H290">
        <v>91.89</v>
      </c>
      <c r="I290">
        <v>93.4</v>
      </c>
      <c r="J290">
        <v>91.889499999999998</v>
      </c>
      <c r="K290">
        <v>93.316599999999994</v>
      </c>
    </row>
    <row r="291" spans="1:11" x14ac:dyDescent="0.35">
      <c r="A291" t="s">
        <v>23</v>
      </c>
      <c r="B291">
        <v>4</v>
      </c>
      <c r="C291" t="s">
        <v>32</v>
      </c>
      <c r="D291">
        <v>1</v>
      </c>
      <c r="E291">
        <v>1</v>
      </c>
      <c r="F291">
        <v>13.503</v>
      </c>
      <c r="G291">
        <v>13.499499999999999</v>
      </c>
      <c r="H291">
        <v>1902.97</v>
      </c>
      <c r="I291">
        <v>1907.62</v>
      </c>
      <c r="J291">
        <v>1902.9734000000001</v>
      </c>
      <c r="K291">
        <v>1907.4417000000001</v>
      </c>
    </row>
    <row r="292" spans="1:11" x14ac:dyDescent="0.35">
      <c r="A292" t="s">
        <v>23</v>
      </c>
      <c r="B292">
        <v>4</v>
      </c>
      <c r="C292" t="s">
        <v>32</v>
      </c>
      <c r="D292">
        <v>1</v>
      </c>
      <c r="E292">
        <v>1</v>
      </c>
      <c r="F292">
        <v>13.496</v>
      </c>
      <c r="G292">
        <v>13.499499999999999</v>
      </c>
      <c r="H292">
        <v>1912.26</v>
      </c>
      <c r="I292">
        <v>1907.62</v>
      </c>
      <c r="J292">
        <v>1911.9204</v>
      </c>
      <c r="K292">
        <v>1907.4417000000001</v>
      </c>
    </row>
    <row r="293" spans="1:11" x14ac:dyDescent="0.35">
      <c r="A293" t="s">
        <v>23</v>
      </c>
      <c r="B293">
        <v>4</v>
      </c>
      <c r="C293" t="s">
        <v>18</v>
      </c>
      <c r="D293">
        <v>9</v>
      </c>
      <c r="E293">
        <v>10</v>
      </c>
      <c r="F293">
        <v>25.449000000000002</v>
      </c>
      <c r="G293">
        <v>25.432666666666599</v>
      </c>
      <c r="H293">
        <v>6.35</v>
      </c>
      <c r="I293">
        <v>6.46</v>
      </c>
      <c r="J293">
        <v>6.3532999999999999</v>
      </c>
      <c r="K293">
        <v>6.4231999999999996</v>
      </c>
    </row>
    <row r="294" spans="1:11" x14ac:dyDescent="0.35">
      <c r="A294" t="s">
        <v>23</v>
      </c>
      <c r="B294">
        <v>4</v>
      </c>
      <c r="C294" t="s">
        <v>0</v>
      </c>
      <c r="D294">
        <v>17</v>
      </c>
      <c r="E294">
        <v>10</v>
      </c>
      <c r="F294">
        <v>21.509</v>
      </c>
      <c r="G294">
        <v>21.439</v>
      </c>
      <c r="H294">
        <v>89.07</v>
      </c>
      <c r="I294">
        <v>93.4</v>
      </c>
      <c r="J294">
        <v>89.040599999999998</v>
      </c>
      <c r="K294">
        <v>93.316599999999994</v>
      </c>
    </row>
    <row r="295" spans="1:11" hidden="1" x14ac:dyDescent="0.35">
      <c r="A295" t="s">
        <v>23</v>
      </c>
      <c r="B295">
        <v>4</v>
      </c>
      <c r="C295" t="s">
        <v>18</v>
      </c>
      <c r="D295">
        <v>10</v>
      </c>
      <c r="E295">
        <v>50</v>
      </c>
      <c r="F295">
        <v>27.992999999999999</v>
      </c>
      <c r="G295">
        <v>28.0975</v>
      </c>
      <c r="H295">
        <v>5.78</v>
      </c>
      <c r="I295">
        <v>5.4</v>
      </c>
      <c r="J295">
        <v>5.7760999999999996</v>
      </c>
      <c r="K295">
        <v>5.3855000000000004</v>
      </c>
    </row>
    <row r="296" spans="1:11" hidden="1" x14ac:dyDescent="0.35">
      <c r="A296" t="s">
        <v>23</v>
      </c>
      <c r="B296">
        <v>4</v>
      </c>
      <c r="C296" t="s">
        <v>18</v>
      </c>
      <c r="D296">
        <v>10</v>
      </c>
      <c r="E296">
        <v>50</v>
      </c>
      <c r="F296">
        <v>28.202000000000002</v>
      </c>
      <c r="G296">
        <v>28.0975</v>
      </c>
      <c r="H296">
        <v>5.0199999999999996</v>
      </c>
      <c r="I296">
        <v>5.4</v>
      </c>
      <c r="J296">
        <v>5.0213000000000001</v>
      </c>
      <c r="K296">
        <v>5.3855000000000004</v>
      </c>
    </row>
    <row r="297" spans="1:11" hidden="1" x14ac:dyDescent="0.35">
      <c r="A297" t="s">
        <v>23</v>
      </c>
      <c r="B297">
        <v>4</v>
      </c>
      <c r="C297" t="s">
        <v>0</v>
      </c>
      <c r="D297">
        <v>18</v>
      </c>
      <c r="E297">
        <v>50</v>
      </c>
      <c r="F297">
        <v>23.867999999999999</v>
      </c>
      <c r="G297">
        <v>26.152333333333299</v>
      </c>
      <c r="H297">
        <v>91.67</v>
      </c>
      <c r="I297">
        <v>32.18</v>
      </c>
      <c r="J297">
        <v>91.634699999999995</v>
      </c>
      <c r="K297">
        <v>19.828600000000002</v>
      </c>
    </row>
    <row r="298" spans="1:11" hidden="1" x14ac:dyDescent="0.35">
      <c r="A298" t="s">
        <v>23</v>
      </c>
      <c r="B298">
        <v>4</v>
      </c>
      <c r="C298" t="s">
        <v>0</v>
      </c>
      <c r="D298">
        <v>18</v>
      </c>
      <c r="E298">
        <v>50</v>
      </c>
      <c r="F298">
        <v>23.83</v>
      </c>
      <c r="G298">
        <v>26.152333333333299</v>
      </c>
      <c r="H298">
        <v>94.01</v>
      </c>
      <c r="I298">
        <v>32.18</v>
      </c>
      <c r="J298">
        <v>93.998000000000005</v>
      </c>
      <c r="K298">
        <v>19.828600000000002</v>
      </c>
    </row>
    <row r="299" spans="1:11" x14ac:dyDescent="0.35">
      <c r="A299" t="s">
        <v>23</v>
      </c>
      <c r="B299">
        <v>4</v>
      </c>
      <c r="C299" t="s">
        <v>31</v>
      </c>
      <c r="D299">
        <v>2</v>
      </c>
      <c r="E299">
        <v>1</v>
      </c>
      <c r="F299">
        <v>15.829000000000001</v>
      </c>
      <c r="G299">
        <v>15.7575</v>
      </c>
      <c r="H299">
        <v>400.32</v>
      </c>
      <c r="I299">
        <v>420.59</v>
      </c>
      <c r="J299">
        <v>400.44060000000002</v>
      </c>
      <c r="K299">
        <v>420.09300000000002</v>
      </c>
    </row>
    <row r="300" spans="1:11" x14ac:dyDescent="0.35">
      <c r="A300" t="s">
        <v>23</v>
      </c>
      <c r="B300">
        <v>4</v>
      </c>
      <c r="C300" t="s">
        <v>31</v>
      </c>
      <c r="D300">
        <v>2</v>
      </c>
      <c r="E300">
        <v>1</v>
      </c>
      <c r="F300">
        <v>15.686</v>
      </c>
      <c r="G300">
        <v>15.7575</v>
      </c>
      <c r="H300">
        <v>440.86</v>
      </c>
      <c r="I300">
        <v>420.59</v>
      </c>
      <c r="J300">
        <v>440.7099</v>
      </c>
      <c r="K300">
        <v>420.09300000000002</v>
      </c>
    </row>
    <row r="301" spans="1:11" x14ac:dyDescent="0.35">
      <c r="A301" t="s">
        <v>23</v>
      </c>
      <c r="B301">
        <v>4</v>
      </c>
      <c r="C301" t="s">
        <v>18</v>
      </c>
      <c r="D301">
        <v>9</v>
      </c>
      <c r="E301">
        <v>10</v>
      </c>
      <c r="F301">
        <v>25.286999999999999</v>
      </c>
      <c r="G301">
        <v>25.432666666666599</v>
      </c>
      <c r="H301">
        <v>7.08</v>
      </c>
      <c r="I301">
        <v>6.46</v>
      </c>
      <c r="J301">
        <v>7.0818000000000003</v>
      </c>
      <c r="K301">
        <v>6.4231999999999996</v>
      </c>
    </row>
    <row r="302" spans="1:11" x14ac:dyDescent="0.35">
      <c r="A302" t="s">
        <v>23</v>
      </c>
      <c r="B302">
        <v>4</v>
      </c>
      <c r="C302" t="s">
        <v>0</v>
      </c>
      <c r="D302">
        <v>17</v>
      </c>
      <c r="E302">
        <v>10</v>
      </c>
      <c r="F302">
        <v>21.33</v>
      </c>
      <c r="G302">
        <v>21.439</v>
      </c>
      <c r="H302">
        <v>100.39</v>
      </c>
      <c r="I302">
        <v>93.4</v>
      </c>
      <c r="J302">
        <v>100.3874</v>
      </c>
      <c r="K302">
        <v>93.316599999999994</v>
      </c>
    </row>
    <row r="303" spans="1:11" hidden="1" x14ac:dyDescent="0.35">
      <c r="A303" t="s">
        <v>23</v>
      </c>
      <c r="B303">
        <v>4</v>
      </c>
      <c r="C303" t="s">
        <v>0</v>
      </c>
      <c r="D303">
        <v>19</v>
      </c>
      <c r="E303">
        <v>250</v>
      </c>
      <c r="F303">
        <v>26.385000000000002</v>
      </c>
      <c r="G303">
        <v>22.632249999999999</v>
      </c>
      <c r="H303">
        <v>84.85</v>
      </c>
      <c r="I303">
        <v>303.77</v>
      </c>
      <c r="J303">
        <v>84.830500000000001</v>
      </c>
      <c r="K303">
        <v>1048.6935000000001</v>
      </c>
    </row>
    <row r="304" spans="1:11" hidden="1" x14ac:dyDescent="0.35">
      <c r="A304" t="s">
        <v>23</v>
      </c>
      <c r="B304">
        <v>4</v>
      </c>
      <c r="C304" t="s">
        <v>0</v>
      </c>
      <c r="D304">
        <v>19</v>
      </c>
      <c r="E304">
        <v>250</v>
      </c>
      <c r="F304">
        <v>26.413</v>
      </c>
      <c r="G304">
        <v>22.632249999999999</v>
      </c>
      <c r="H304">
        <v>83.29</v>
      </c>
      <c r="I304">
        <v>303.77</v>
      </c>
      <c r="J304">
        <v>83.253699999999995</v>
      </c>
      <c r="K304">
        <v>1048.6935000000001</v>
      </c>
    </row>
    <row r="305" spans="1:11" x14ac:dyDescent="0.35">
      <c r="A305" t="s">
        <v>23</v>
      </c>
      <c r="B305">
        <v>4</v>
      </c>
      <c r="C305" t="s">
        <v>30</v>
      </c>
      <c r="D305">
        <v>3</v>
      </c>
      <c r="E305">
        <v>1</v>
      </c>
      <c r="F305">
        <v>18.265000000000001</v>
      </c>
      <c r="G305">
        <v>18.218</v>
      </c>
      <c r="H305">
        <v>78.260000000000005</v>
      </c>
      <c r="I305">
        <v>80.8</v>
      </c>
      <c r="J305">
        <v>78.276600000000002</v>
      </c>
      <c r="K305">
        <v>80.781099999999995</v>
      </c>
    </row>
    <row r="306" spans="1:11" x14ac:dyDescent="0.35">
      <c r="A306" t="s">
        <v>23</v>
      </c>
      <c r="B306">
        <v>4</v>
      </c>
      <c r="C306" t="s">
        <v>30</v>
      </c>
      <c r="D306">
        <v>3</v>
      </c>
      <c r="E306">
        <v>1</v>
      </c>
      <c r="F306">
        <v>18.170999999999999</v>
      </c>
      <c r="G306">
        <v>18.218</v>
      </c>
      <c r="H306">
        <v>83.34</v>
      </c>
      <c r="I306">
        <v>80.8</v>
      </c>
      <c r="J306">
        <v>83.365700000000004</v>
      </c>
      <c r="K306">
        <v>80.781099999999995</v>
      </c>
    </row>
    <row r="307" spans="1:11" x14ac:dyDescent="0.35">
      <c r="A307" t="s">
        <v>23</v>
      </c>
      <c r="B307">
        <v>4</v>
      </c>
      <c r="C307" t="s">
        <v>18</v>
      </c>
      <c r="D307">
        <v>9</v>
      </c>
      <c r="E307">
        <v>10</v>
      </c>
      <c r="F307">
        <v>25.273</v>
      </c>
      <c r="G307">
        <v>25.432666666666599</v>
      </c>
      <c r="H307">
        <v>7.15</v>
      </c>
      <c r="I307">
        <v>6.46</v>
      </c>
      <c r="J307">
        <v>7.1485000000000003</v>
      </c>
      <c r="K307">
        <v>6.4231999999999996</v>
      </c>
    </row>
    <row r="308" spans="1:11" x14ac:dyDescent="0.35">
      <c r="A308" t="s">
        <v>23</v>
      </c>
      <c r="B308">
        <v>4</v>
      </c>
      <c r="C308" t="s">
        <v>0</v>
      </c>
      <c r="D308">
        <v>17</v>
      </c>
      <c r="E308">
        <v>10</v>
      </c>
      <c r="F308">
        <v>21.422000000000001</v>
      </c>
      <c r="G308">
        <v>21.439</v>
      </c>
      <c r="H308">
        <v>94.38</v>
      </c>
      <c r="I308">
        <v>93.4</v>
      </c>
      <c r="J308">
        <v>94.3857</v>
      </c>
      <c r="K308">
        <v>93.316599999999994</v>
      </c>
    </row>
    <row r="309" spans="1:11" hidden="1" x14ac:dyDescent="0.35">
      <c r="A309" t="s">
        <v>23</v>
      </c>
      <c r="B309">
        <v>4</v>
      </c>
      <c r="C309" t="s">
        <v>0</v>
      </c>
      <c r="D309">
        <v>20</v>
      </c>
      <c r="E309">
        <v>1250</v>
      </c>
      <c r="F309">
        <v>28.951000000000001</v>
      </c>
      <c r="G309">
        <v>25.081499999999998</v>
      </c>
      <c r="H309">
        <v>76.010000000000005</v>
      </c>
      <c r="I309">
        <v>292.58999999999997</v>
      </c>
      <c r="J309">
        <v>75.994900000000001</v>
      </c>
      <c r="K309">
        <v>1015.9133</v>
      </c>
    </row>
    <row r="310" spans="1:11" hidden="1" x14ac:dyDescent="0.35">
      <c r="A310" t="s">
        <v>23</v>
      </c>
      <c r="B310">
        <v>4</v>
      </c>
      <c r="C310" t="s">
        <v>0</v>
      </c>
      <c r="D310">
        <v>20</v>
      </c>
      <c r="E310">
        <v>1250</v>
      </c>
      <c r="F310">
        <v>28.72</v>
      </c>
      <c r="G310">
        <v>25.081499999999998</v>
      </c>
      <c r="H310">
        <v>88.7</v>
      </c>
      <c r="I310">
        <v>292.58999999999997</v>
      </c>
      <c r="J310">
        <v>88.717299999999994</v>
      </c>
      <c r="K310">
        <v>1015.9133</v>
      </c>
    </row>
    <row r="311" spans="1:11" x14ac:dyDescent="0.35">
      <c r="A311" t="s">
        <v>23</v>
      </c>
      <c r="B311">
        <v>4</v>
      </c>
      <c r="C311" t="s">
        <v>29</v>
      </c>
      <c r="D311">
        <v>4</v>
      </c>
      <c r="E311">
        <v>1</v>
      </c>
      <c r="F311">
        <v>20.677</v>
      </c>
      <c r="G311">
        <v>20.6325</v>
      </c>
      <c r="H311">
        <v>15.55</v>
      </c>
      <c r="I311">
        <v>16.03</v>
      </c>
      <c r="J311">
        <v>15.549300000000001</v>
      </c>
      <c r="K311">
        <v>16.0199</v>
      </c>
    </row>
    <row r="312" spans="1:11" x14ac:dyDescent="0.35">
      <c r="A312" t="s">
        <v>23</v>
      </c>
      <c r="B312">
        <v>4</v>
      </c>
      <c r="C312" t="s">
        <v>29</v>
      </c>
      <c r="D312">
        <v>4</v>
      </c>
      <c r="E312">
        <v>1</v>
      </c>
      <c r="F312">
        <v>20.588000000000001</v>
      </c>
      <c r="G312">
        <v>20.6325</v>
      </c>
      <c r="H312">
        <v>16.510000000000002</v>
      </c>
      <c r="I312">
        <v>16.03</v>
      </c>
      <c r="J312">
        <v>16.504799999999999</v>
      </c>
      <c r="K312">
        <v>16.0199</v>
      </c>
    </row>
    <row r="313" spans="1:11" x14ac:dyDescent="0.35">
      <c r="A313" t="s">
        <v>23</v>
      </c>
      <c r="B313">
        <v>4</v>
      </c>
      <c r="C313" t="s">
        <v>18</v>
      </c>
      <c r="D313">
        <v>9</v>
      </c>
      <c r="E313">
        <v>10</v>
      </c>
      <c r="F313">
        <v>25.315000000000001</v>
      </c>
      <c r="G313">
        <v>25.432666666666599</v>
      </c>
      <c r="H313">
        <v>6.95</v>
      </c>
      <c r="I313">
        <v>6.46</v>
      </c>
      <c r="J313">
        <v>6.9501999999999997</v>
      </c>
      <c r="K313">
        <v>6.4231999999999996</v>
      </c>
    </row>
    <row r="314" spans="1:11" x14ac:dyDescent="0.35">
      <c r="A314" t="s">
        <v>23</v>
      </c>
      <c r="B314">
        <v>4</v>
      </c>
      <c r="C314" t="s">
        <v>0</v>
      </c>
      <c r="D314">
        <v>17</v>
      </c>
      <c r="E314">
        <v>10</v>
      </c>
      <c r="F314">
        <v>21.43</v>
      </c>
      <c r="G314">
        <v>21.439</v>
      </c>
      <c r="H314">
        <v>93.91</v>
      </c>
      <c r="I314">
        <v>93.4</v>
      </c>
      <c r="J314">
        <v>93.881100000000004</v>
      </c>
      <c r="K314">
        <v>93.316599999999994</v>
      </c>
    </row>
    <row r="315" spans="1:11" x14ac:dyDescent="0.35">
      <c r="A315" t="s">
        <v>23</v>
      </c>
      <c r="B315">
        <v>4</v>
      </c>
      <c r="C315" t="s">
        <v>15</v>
      </c>
      <c r="D315">
        <v>13</v>
      </c>
      <c r="E315">
        <v>10</v>
      </c>
      <c r="F315">
        <v>23.617999999999999</v>
      </c>
      <c r="G315">
        <v>23.7476666666666</v>
      </c>
      <c r="H315">
        <v>21.67</v>
      </c>
      <c r="I315">
        <v>19.899999999999999</v>
      </c>
      <c r="J315">
        <v>21.6692</v>
      </c>
      <c r="K315">
        <v>19.8659</v>
      </c>
    </row>
    <row r="316" spans="1:11" x14ac:dyDescent="0.35">
      <c r="A316" t="s">
        <v>23</v>
      </c>
      <c r="B316">
        <v>4</v>
      </c>
      <c r="C316" t="s">
        <v>15</v>
      </c>
      <c r="D316">
        <v>13</v>
      </c>
      <c r="E316">
        <v>10</v>
      </c>
      <c r="F316">
        <v>23.74</v>
      </c>
      <c r="G316">
        <v>23.7476666666666</v>
      </c>
      <c r="H316">
        <v>19.96</v>
      </c>
      <c r="I316">
        <v>19.899999999999999</v>
      </c>
      <c r="J316">
        <v>19.9682</v>
      </c>
      <c r="K316">
        <v>19.8659</v>
      </c>
    </row>
    <row r="317" spans="1:11" x14ac:dyDescent="0.35">
      <c r="A317" t="s">
        <v>23</v>
      </c>
      <c r="B317">
        <v>4</v>
      </c>
      <c r="C317" t="s">
        <v>25</v>
      </c>
      <c r="D317">
        <v>21</v>
      </c>
      <c r="E317">
        <v>1</v>
      </c>
      <c r="F317">
        <v>33.389000000000003</v>
      </c>
      <c r="G317">
        <v>31.552900000000001</v>
      </c>
      <c r="H317">
        <v>0</v>
      </c>
      <c r="I317">
        <v>96.98</v>
      </c>
      <c r="J317">
        <v>3.0999999999999999E-3</v>
      </c>
      <c r="K317">
        <v>1.06E-2</v>
      </c>
    </row>
    <row r="318" spans="1:11" x14ac:dyDescent="0.35">
      <c r="A318" t="s">
        <v>23</v>
      </c>
      <c r="B318">
        <v>4</v>
      </c>
      <c r="C318" t="s">
        <v>25</v>
      </c>
      <c r="D318">
        <v>21</v>
      </c>
      <c r="E318">
        <v>1</v>
      </c>
      <c r="F318">
        <v>33.286999999999999</v>
      </c>
      <c r="G318">
        <v>31.552900000000001</v>
      </c>
      <c r="H318">
        <v>0</v>
      </c>
      <c r="I318">
        <v>96.98</v>
      </c>
      <c r="J318">
        <v>3.3E-3</v>
      </c>
      <c r="K318">
        <v>1.06E-2</v>
      </c>
    </row>
    <row r="319" spans="1:11" x14ac:dyDescent="0.35">
      <c r="A319" t="s">
        <v>23</v>
      </c>
      <c r="B319">
        <v>4</v>
      </c>
      <c r="C319" t="s">
        <v>28</v>
      </c>
      <c r="D319">
        <v>5</v>
      </c>
      <c r="E319">
        <v>1</v>
      </c>
      <c r="F319">
        <v>22.986999999999998</v>
      </c>
      <c r="G319">
        <v>22.978999999999999</v>
      </c>
      <c r="H319">
        <v>3.31</v>
      </c>
      <c r="I319">
        <v>3.33</v>
      </c>
      <c r="J319">
        <v>3.3073000000000001</v>
      </c>
      <c r="K319">
        <v>3.3250999999999999</v>
      </c>
    </row>
    <row r="320" spans="1:11" x14ac:dyDescent="0.35">
      <c r="A320" t="s">
        <v>23</v>
      </c>
      <c r="B320">
        <v>4</v>
      </c>
      <c r="C320" t="s">
        <v>28</v>
      </c>
      <c r="D320">
        <v>5</v>
      </c>
      <c r="E320">
        <v>1</v>
      </c>
      <c r="F320">
        <v>22.971</v>
      </c>
      <c r="G320">
        <v>22.978999999999999</v>
      </c>
      <c r="H320">
        <v>3.34</v>
      </c>
      <c r="I320">
        <v>3.33</v>
      </c>
      <c r="J320">
        <v>3.3429000000000002</v>
      </c>
      <c r="K320">
        <v>3.3250999999999999</v>
      </c>
    </row>
    <row r="321" spans="1:11" x14ac:dyDescent="0.35">
      <c r="A321" t="s">
        <v>23</v>
      </c>
      <c r="B321">
        <v>4</v>
      </c>
      <c r="C321" t="s">
        <v>15</v>
      </c>
      <c r="D321">
        <v>13</v>
      </c>
      <c r="E321">
        <v>10</v>
      </c>
      <c r="F321">
        <v>23.763999999999999</v>
      </c>
      <c r="G321">
        <v>23.7476666666666</v>
      </c>
      <c r="H321">
        <v>19.649999999999999</v>
      </c>
      <c r="I321">
        <v>19.899999999999999</v>
      </c>
      <c r="J321">
        <v>19.649699999999999</v>
      </c>
      <c r="K321">
        <v>19.8659</v>
      </c>
    </row>
    <row r="322" spans="1:11" x14ac:dyDescent="0.35">
      <c r="A322" t="s">
        <v>23</v>
      </c>
      <c r="B322">
        <v>4</v>
      </c>
      <c r="C322" t="s">
        <v>19</v>
      </c>
      <c r="D322">
        <v>18</v>
      </c>
      <c r="E322">
        <v>10</v>
      </c>
      <c r="F322">
        <v>27.361000000000001</v>
      </c>
      <c r="G322">
        <v>26.152333333333299</v>
      </c>
      <c r="H322">
        <v>1.76</v>
      </c>
      <c r="I322">
        <v>32.18</v>
      </c>
      <c r="J322">
        <v>1.7643</v>
      </c>
      <c r="K322">
        <v>3.9657</v>
      </c>
    </row>
    <row r="323" spans="1:11" hidden="1" x14ac:dyDescent="0.35">
      <c r="A323" t="s">
        <v>23</v>
      </c>
      <c r="B323">
        <v>4</v>
      </c>
      <c r="C323" t="s">
        <v>15</v>
      </c>
      <c r="D323">
        <v>14</v>
      </c>
      <c r="E323">
        <v>50</v>
      </c>
      <c r="F323">
        <v>26.338000000000001</v>
      </c>
      <c r="G323">
        <v>26.318999999999999</v>
      </c>
      <c r="H323">
        <v>17.510000000000002</v>
      </c>
      <c r="I323">
        <v>17.739999999999998</v>
      </c>
      <c r="J323">
        <v>17.508900000000001</v>
      </c>
      <c r="K323">
        <v>17.7333</v>
      </c>
    </row>
    <row r="324" spans="1:11" hidden="1" x14ac:dyDescent="0.35">
      <c r="A324" t="s">
        <v>23</v>
      </c>
      <c r="B324">
        <v>4</v>
      </c>
      <c r="C324" t="s">
        <v>15</v>
      </c>
      <c r="D324">
        <v>14</v>
      </c>
      <c r="E324">
        <v>50</v>
      </c>
      <c r="F324">
        <v>26.3</v>
      </c>
      <c r="G324">
        <v>26.318999999999999</v>
      </c>
      <c r="H324">
        <v>17.97</v>
      </c>
      <c r="I324">
        <v>17.739999999999998</v>
      </c>
      <c r="J324">
        <v>17.9605</v>
      </c>
      <c r="K324">
        <v>17.7333</v>
      </c>
    </row>
    <row r="325" spans="1:11" x14ac:dyDescent="0.35">
      <c r="A325" t="s">
        <v>23</v>
      </c>
      <c r="B325">
        <v>4</v>
      </c>
      <c r="C325" t="s">
        <v>25</v>
      </c>
      <c r="D325">
        <v>21</v>
      </c>
      <c r="E325">
        <v>1</v>
      </c>
      <c r="F325">
        <v>34.052</v>
      </c>
      <c r="G325">
        <v>31.552900000000001</v>
      </c>
      <c r="H325">
        <v>0</v>
      </c>
      <c r="I325">
        <v>96.98</v>
      </c>
      <c r="J325">
        <v>2E-3</v>
      </c>
      <c r="K325">
        <v>1.06E-2</v>
      </c>
    </row>
    <row r="326" spans="1:11" x14ac:dyDescent="0.35">
      <c r="A326" t="s">
        <v>23</v>
      </c>
      <c r="B326">
        <v>4</v>
      </c>
      <c r="C326" t="s">
        <v>25</v>
      </c>
      <c r="D326">
        <v>21</v>
      </c>
      <c r="E326">
        <v>1</v>
      </c>
      <c r="F326">
        <v>32.606999999999999</v>
      </c>
      <c r="G326">
        <v>31.552900000000001</v>
      </c>
      <c r="H326">
        <v>0.01</v>
      </c>
      <c r="I326">
        <v>96.98</v>
      </c>
      <c r="J326">
        <v>5.1999999999999998E-3</v>
      </c>
      <c r="K326">
        <v>1.06E-2</v>
      </c>
    </row>
    <row r="327" spans="1:11" x14ac:dyDescent="0.35">
      <c r="A327" t="s">
        <v>23</v>
      </c>
      <c r="B327">
        <v>4</v>
      </c>
      <c r="C327" t="s">
        <v>27</v>
      </c>
      <c r="D327">
        <v>6</v>
      </c>
      <c r="E327">
        <v>1</v>
      </c>
      <c r="F327">
        <v>25.344999999999999</v>
      </c>
      <c r="G327">
        <v>25.557500000000001</v>
      </c>
      <c r="H327">
        <v>0.68</v>
      </c>
      <c r="I327">
        <v>0.6</v>
      </c>
      <c r="J327">
        <v>0.68120000000000003</v>
      </c>
      <c r="K327">
        <v>0.59079999999999999</v>
      </c>
    </row>
    <row r="328" spans="1:11" x14ac:dyDescent="0.35">
      <c r="A328" t="s">
        <v>23</v>
      </c>
      <c r="B328">
        <v>4</v>
      </c>
      <c r="C328" t="s">
        <v>27</v>
      </c>
      <c r="D328">
        <v>6</v>
      </c>
      <c r="E328">
        <v>1</v>
      </c>
      <c r="F328">
        <v>25.77</v>
      </c>
      <c r="G328">
        <v>25.557500000000001</v>
      </c>
      <c r="H328">
        <v>0.51</v>
      </c>
      <c r="I328">
        <v>0.6</v>
      </c>
      <c r="J328">
        <v>0.51239999999999997</v>
      </c>
      <c r="K328">
        <v>0.59079999999999999</v>
      </c>
    </row>
    <row r="329" spans="1:11" x14ac:dyDescent="0.35">
      <c r="A329" t="s">
        <v>23</v>
      </c>
      <c r="B329">
        <v>4</v>
      </c>
      <c r="C329" t="s">
        <v>15</v>
      </c>
      <c r="D329">
        <v>13</v>
      </c>
      <c r="E329">
        <v>10</v>
      </c>
      <c r="F329">
        <v>23.669</v>
      </c>
      <c r="G329">
        <v>23.7476666666666</v>
      </c>
      <c r="H329">
        <v>20.94</v>
      </c>
      <c r="I329">
        <v>19.899999999999999</v>
      </c>
      <c r="J329">
        <v>20.941199999999998</v>
      </c>
      <c r="K329">
        <v>19.8659</v>
      </c>
    </row>
    <row r="330" spans="1:11" x14ac:dyDescent="0.35">
      <c r="A330" t="s">
        <v>23</v>
      </c>
      <c r="B330">
        <v>4</v>
      </c>
      <c r="C330" t="s">
        <v>19</v>
      </c>
      <c r="D330">
        <v>18</v>
      </c>
      <c r="E330">
        <v>10</v>
      </c>
      <c r="F330">
        <v>27.221</v>
      </c>
      <c r="G330">
        <v>26.152333333333299</v>
      </c>
      <c r="H330">
        <v>1.94</v>
      </c>
      <c r="I330">
        <v>32.18</v>
      </c>
      <c r="J330">
        <v>1.9379</v>
      </c>
      <c r="K330">
        <v>3.9657</v>
      </c>
    </row>
    <row r="331" spans="1:11" hidden="1" x14ac:dyDescent="0.35">
      <c r="A331" t="s">
        <v>23</v>
      </c>
      <c r="B331">
        <v>4</v>
      </c>
      <c r="C331" t="s">
        <v>15</v>
      </c>
      <c r="D331">
        <v>15</v>
      </c>
      <c r="E331">
        <v>250</v>
      </c>
      <c r="F331">
        <v>28.545000000000002</v>
      </c>
      <c r="G331">
        <v>28.629000000000001</v>
      </c>
      <c r="H331">
        <v>19.95</v>
      </c>
      <c r="I331">
        <v>18.89</v>
      </c>
      <c r="J331">
        <v>19.951000000000001</v>
      </c>
      <c r="K331">
        <v>18.859100000000002</v>
      </c>
    </row>
    <row r="332" spans="1:11" hidden="1" x14ac:dyDescent="0.35">
      <c r="A332" t="s">
        <v>23</v>
      </c>
      <c r="B332">
        <v>4</v>
      </c>
      <c r="C332" t="s">
        <v>15</v>
      </c>
      <c r="D332">
        <v>15</v>
      </c>
      <c r="E332">
        <v>250</v>
      </c>
      <c r="F332">
        <v>28.713000000000001</v>
      </c>
      <c r="G332">
        <v>28.629000000000001</v>
      </c>
      <c r="H332">
        <v>17.829999999999998</v>
      </c>
      <c r="I332">
        <v>18.89</v>
      </c>
      <c r="J332">
        <v>17.826899999999998</v>
      </c>
      <c r="K332">
        <v>18.859100000000002</v>
      </c>
    </row>
    <row r="333" spans="1:11" x14ac:dyDescent="0.35">
      <c r="A333" t="s">
        <v>23</v>
      </c>
      <c r="B333">
        <v>4</v>
      </c>
      <c r="C333" t="s">
        <v>25</v>
      </c>
      <c r="D333">
        <v>21</v>
      </c>
      <c r="E333">
        <v>1</v>
      </c>
      <c r="F333">
        <v>33.613999999999997</v>
      </c>
      <c r="G333">
        <v>31.552900000000001</v>
      </c>
      <c r="H333">
        <v>0</v>
      </c>
      <c r="I333">
        <v>96.98</v>
      </c>
      <c r="J333">
        <v>2.7000000000000001E-3</v>
      </c>
      <c r="K333">
        <v>1.06E-2</v>
      </c>
    </row>
    <row r="334" spans="1:11" x14ac:dyDescent="0.35">
      <c r="A334" t="s">
        <v>23</v>
      </c>
      <c r="B334">
        <v>4</v>
      </c>
      <c r="C334" t="s">
        <v>25</v>
      </c>
      <c r="D334">
        <v>21</v>
      </c>
      <c r="E334">
        <v>1</v>
      </c>
      <c r="F334">
        <v>34.113999999999997</v>
      </c>
      <c r="G334">
        <v>31.552900000000001</v>
      </c>
      <c r="H334">
        <v>0</v>
      </c>
      <c r="I334">
        <v>96.98</v>
      </c>
      <c r="J334">
        <v>1.9E-3</v>
      </c>
      <c r="K334">
        <v>1.06E-2</v>
      </c>
    </row>
    <row r="335" spans="1:11" x14ac:dyDescent="0.35">
      <c r="A335" t="s">
        <v>23</v>
      </c>
      <c r="B335">
        <v>4</v>
      </c>
      <c r="C335" t="s">
        <v>26</v>
      </c>
      <c r="D335">
        <v>7</v>
      </c>
      <c r="E335">
        <v>1</v>
      </c>
      <c r="F335">
        <v>27.594000000000001</v>
      </c>
      <c r="G335">
        <v>27.796500000000002</v>
      </c>
      <c r="H335">
        <v>0.15</v>
      </c>
      <c r="I335">
        <v>0.13</v>
      </c>
      <c r="J335">
        <v>0.15090000000000001</v>
      </c>
      <c r="K335">
        <v>0.1318</v>
      </c>
    </row>
    <row r="336" spans="1:11" x14ac:dyDescent="0.35">
      <c r="A336" t="s">
        <v>23</v>
      </c>
      <c r="B336">
        <v>4</v>
      </c>
      <c r="C336" t="s">
        <v>26</v>
      </c>
      <c r="D336">
        <v>7</v>
      </c>
      <c r="E336">
        <v>1</v>
      </c>
      <c r="F336">
        <v>27.998999999999999</v>
      </c>
      <c r="G336">
        <v>27.796500000000002</v>
      </c>
      <c r="H336">
        <v>0.12</v>
      </c>
      <c r="I336">
        <v>0.13</v>
      </c>
      <c r="J336">
        <v>0.11509999999999999</v>
      </c>
      <c r="K336">
        <v>0.1318</v>
      </c>
    </row>
    <row r="337" spans="1:11" x14ac:dyDescent="0.35">
      <c r="A337" t="s">
        <v>23</v>
      </c>
      <c r="B337">
        <v>4</v>
      </c>
      <c r="C337" t="s">
        <v>15</v>
      </c>
      <c r="D337">
        <v>13</v>
      </c>
      <c r="E337">
        <v>10</v>
      </c>
      <c r="F337">
        <v>23.806000000000001</v>
      </c>
      <c r="G337">
        <v>23.7476666666666</v>
      </c>
      <c r="H337">
        <v>19.11</v>
      </c>
      <c r="I337">
        <v>19.899999999999999</v>
      </c>
      <c r="J337">
        <v>19.104399999999998</v>
      </c>
      <c r="K337">
        <v>19.8659</v>
      </c>
    </row>
    <row r="338" spans="1:11" x14ac:dyDescent="0.35">
      <c r="A338" t="s">
        <v>23</v>
      </c>
      <c r="B338">
        <v>4</v>
      </c>
      <c r="C338" t="s">
        <v>19</v>
      </c>
      <c r="D338">
        <v>18</v>
      </c>
      <c r="E338">
        <v>10</v>
      </c>
      <c r="F338">
        <v>27.076000000000001</v>
      </c>
      <c r="G338">
        <v>26.152333333333299</v>
      </c>
      <c r="H338">
        <v>2.14</v>
      </c>
      <c r="I338">
        <v>32.18</v>
      </c>
      <c r="J338">
        <v>2.1356000000000002</v>
      </c>
      <c r="K338">
        <v>3.9657</v>
      </c>
    </row>
    <row r="339" spans="1:11" hidden="1" x14ac:dyDescent="0.35">
      <c r="A339" t="s">
        <v>23</v>
      </c>
      <c r="B339">
        <v>4</v>
      </c>
      <c r="C339" t="s">
        <v>15</v>
      </c>
      <c r="D339">
        <v>16</v>
      </c>
      <c r="E339">
        <v>1250</v>
      </c>
      <c r="F339">
        <v>30.904</v>
      </c>
      <c r="G339">
        <v>30.8445</v>
      </c>
      <c r="H339">
        <v>20.53</v>
      </c>
      <c r="I339">
        <v>21.39</v>
      </c>
      <c r="J339">
        <v>20.532299999999999</v>
      </c>
      <c r="K339">
        <v>21.3675</v>
      </c>
    </row>
    <row r="340" spans="1:11" hidden="1" x14ac:dyDescent="0.35">
      <c r="A340" t="s">
        <v>23</v>
      </c>
      <c r="B340">
        <v>4</v>
      </c>
      <c r="C340" t="s">
        <v>15</v>
      </c>
      <c r="D340">
        <v>16</v>
      </c>
      <c r="E340">
        <v>1250</v>
      </c>
      <c r="F340">
        <v>30.785</v>
      </c>
      <c r="G340">
        <v>30.8445</v>
      </c>
      <c r="H340">
        <v>22.24</v>
      </c>
      <c r="I340">
        <v>21.39</v>
      </c>
      <c r="J340">
        <v>22.236599999999999</v>
      </c>
      <c r="K340">
        <v>21.3675</v>
      </c>
    </row>
    <row r="341" spans="1:11" x14ac:dyDescent="0.35">
      <c r="A341" t="s">
        <v>23</v>
      </c>
      <c r="B341">
        <v>4</v>
      </c>
      <c r="C341" t="s">
        <v>25</v>
      </c>
      <c r="D341">
        <v>21</v>
      </c>
      <c r="E341">
        <v>1</v>
      </c>
      <c r="F341">
        <v>33.554000000000002</v>
      </c>
      <c r="G341">
        <v>31.552900000000001</v>
      </c>
      <c r="H341">
        <v>0</v>
      </c>
      <c r="I341">
        <v>96.98</v>
      </c>
      <c r="J341">
        <v>2.8E-3</v>
      </c>
      <c r="K341">
        <v>1.06E-2</v>
      </c>
    </row>
    <row r="342" spans="1:11" x14ac:dyDescent="0.35">
      <c r="A342" t="s">
        <v>23</v>
      </c>
      <c r="B342">
        <v>4</v>
      </c>
      <c r="C342" t="s">
        <v>25</v>
      </c>
      <c r="D342">
        <v>21</v>
      </c>
      <c r="E342">
        <v>1</v>
      </c>
      <c r="F342">
        <v>33.343000000000004</v>
      </c>
      <c r="G342">
        <v>31.552900000000001</v>
      </c>
      <c r="H342">
        <v>0</v>
      </c>
      <c r="I342">
        <v>96.98</v>
      </c>
      <c r="J342">
        <v>3.2000000000000002E-3</v>
      </c>
      <c r="K342">
        <v>1.06E-2</v>
      </c>
    </row>
    <row r="343" spans="1:11" x14ac:dyDescent="0.35">
      <c r="A343" t="s">
        <v>23</v>
      </c>
      <c r="B343">
        <v>4</v>
      </c>
      <c r="C343" t="s">
        <v>24</v>
      </c>
      <c r="D343">
        <v>8</v>
      </c>
      <c r="E343">
        <v>1</v>
      </c>
      <c r="F343">
        <v>34.228999999999999</v>
      </c>
      <c r="G343">
        <v>33.511499999999998</v>
      </c>
      <c r="H343">
        <v>0</v>
      </c>
      <c r="I343">
        <v>0</v>
      </c>
      <c r="J343">
        <v>1.8E-3</v>
      </c>
      <c r="K343">
        <v>2.8999999999999998E-3</v>
      </c>
    </row>
    <row r="344" spans="1:11" x14ac:dyDescent="0.35">
      <c r="A344" t="s">
        <v>23</v>
      </c>
      <c r="B344">
        <v>4</v>
      </c>
      <c r="C344" t="s">
        <v>24</v>
      </c>
      <c r="D344">
        <v>8</v>
      </c>
      <c r="E344">
        <v>1</v>
      </c>
      <c r="F344">
        <v>32.793999999999997</v>
      </c>
      <c r="G344">
        <v>33.511499999999998</v>
      </c>
      <c r="H344">
        <v>0</v>
      </c>
      <c r="I344">
        <v>0</v>
      </c>
      <c r="J344">
        <v>4.5999999999999999E-3</v>
      </c>
      <c r="K344">
        <v>2.8999999999999998E-3</v>
      </c>
    </row>
    <row r="345" spans="1:11" x14ac:dyDescent="0.35">
      <c r="A345" t="s">
        <v>23</v>
      </c>
      <c r="B345">
        <v>4</v>
      </c>
      <c r="C345" t="s">
        <v>15</v>
      </c>
      <c r="D345">
        <v>13</v>
      </c>
      <c r="E345">
        <v>10</v>
      </c>
      <c r="F345">
        <v>23.888999999999999</v>
      </c>
      <c r="G345">
        <v>23.7476666666666</v>
      </c>
      <c r="H345">
        <v>18.07</v>
      </c>
      <c r="I345">
        <v>19.899999999999999</v>
      </c>
      <c r="J345">
        <v>18.070900000000002</v>
      </c>
      <c r="K345">
        <v>19.8659</v>
      </c>
    </row>
    <row r="346" spans="1:11" x14ac:dyDescent="0.35">
      <c r="A346" t="s">
        <v>23</v>
      </c>
      <c r="B346">
        <v>4</v>
      </c>
      <c r="C346" t="s">
        <v>19</v>
      </c>
      <c r="D346">
        <v>18</v>
      </c>
      <c r="E346">
        <v>10</v>
      </c>
      <c r="F346">
        <v>27.558</v>
      </c>
      <c r="G346">
        <v>26.152333333333299</v>
      </c>
      <c r="H346">
        <v>1.55</v>
      </c>
      <c r="I346">
        <v>32.18</v>
      </c>
      <c r="J346">
        <v>1.5462</v>
      </c>
      <c r="K346">
        <v>3.9657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Smith</dc:creator>
  <cp:lastModifiedBy>Jeff Smith</cp:lastModifiedBy>
  <dcterms:created xsi:type="dcterms:W3CDTF">2025-12-07T07:04:47Z</dcterms:created>
  <dcterms:modified xsi:type="dcterms:W3CDTF">2026-06-29T04:25:12Z</dcterms:modified>
</cp:coreProperties>
</file>